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OneDrive\Desktop\Data Analysis\"/>
    </mc:Choice>
  </mc:AlternateContent>
  <bookViews>
    <workbookView xWindow="0" yWindow="0" windowWidth="20490" windowHeight="7365"/>
  </bookViews>
  <sheets>
    <sheet name="Human Society Pets Adoption" sheetId="2" r:id="rId1"/>
  </sheets>
  <externalReferences>
    <externalReference r:id="rId2"/>
  </externalReferences>
  <definedNames>
    <definedName name="Taxrate">'[1]Name Manager'!$H$7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2" l="1"/>
  <c r="C10" i="2"/>
  <c r="B16" i="2"/>
  <c r="C16" i="2"/>
  <c r="B17" i="2"/>
  <c r="C17" i="2"/>
  <c r="B19" i="2"/>
  <c r="C19" i="2"/>
</calcChain>
</file>

<file path=xl/sharedStrings.xml><?xml version="1.0" encoding="utf-8"?>
<sst xmlns="http://schemas.openxmlformats.org/spreadsheetml/2006/main" count="16" uniqueCount="16">
  <si>
    <t>One year cost</t>
  </si>
  <si>
    <t>12 month total</t>
  </si>
  <si>
    <t>Monthly Total</t>
  </si>
  <si>
    <t>Treats</t>
  </si>
  <si>
    <t>Litter</t>
  </si>
  <si>
    <t>Food</t>
  </si>
  <si>
    <t>Monthly cost</t>
  </si>
  <si>
    <t>Initial Total</t>
  </si>
  <si>
    <t>Collar</t>
  </si>
  <si>
    <t>Tag</t>
  </si>
  <si>
    <t>Food and water bowl</t>
  </si>
  <si>
    <t>Leash</t>
  </si>
  <si>
    <t>Purchase</t>
  </si>
  <si>
    <t>Initial Cost</t>
  </si>
  <si>
    <t>Dog</t>
  </si>
  <si>
    <t>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</si>
</sst>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£&quot;* #,##0.00_-;\-&quot;£&quot;* #,##0.00_-;_-&quot;£&quot;* &quot;-&quot;??_-;_-@_-"/>
    <numFmt numFmtId="164" formatCode="_-[$$-409]* #,##0_ ;_-[$$-409]* \-#,##0\ ;_-[$$-409]* &quot;-&quot;??_ ;_-@_ "/>
    <numFmt numFmtId="165" formatCode="&quot;£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5" tint="-0.249977111117893"/>
      <name val="Calibri"/>
      <family val="2"/>
      <scheme val="minor"/>
    </font>
    <font>
      <b/>
      <i/>
      <sz val="11"/>
      <color theme="9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0" fillId="2" borderId="0" xfId="0" applyFill="1"/>
    <xf numFmtId="2" fontId="0" fillId="0" borderId="0" xfId="0" applyNumberFormat="1" applyAlignment="1">
      <alignment horizontal="right"/>
    </xf>
    <xf numFmtId="165" fontId="0" fillId="0" borderId="0" xfId="1" applyNumberFormat="1" applyFont="1" applyAlignment="1">
      <alignment horizontal="right"/>
    </xf>
    <xf numFmtId="164" fontId="0" fillId="2" borderId="0" xfId="0" applyNumberFormat="1" applyFill="1"/>
    <xf numFmtId="0" fontId="2" fillId="2" borderId="0" xfId="0" applyFont="1" applyFill="1"/>
    <xf numFmtId="164" fontId="0" fillId="3" borderId="0" xfId="0" applyNumberFormat="1" applyFill="1" applyAlignment="1">
      <alignment wrapText="1"/>
    </xf>
    <xf numFmtId="0" fontId="3" fillId="3" borderId="0" xfId="0" applyFont="1" applyFill="1"/>
    <xf numFmtId="0" fontId="0" fillId="3" borderId="0" xfId="0" applyFill="1"/>
    <xf numFmtId="0" fontId="2" fillId="3" borderId="0" xfId="0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Pet Expenses</a:t>
            </a:r>
          </a:p>
          <a:p>
            <a:pPr>
              <a:defRPr/>
            </a:pPr>
            <a:endParaRPr lang="en-GB"/>
          </a:p>
          <a:p>
            <a:pPr>
              <a:defRPr/>
            </a:pPr>
            <a:endParaRPr lang="en-GB"/>
          </a:p>
        </c:rich>
      </c:tx>
      <c:layout>
        <c:manualLayout>
          <c:xMode val="edge"/>
          <c:yMode val="edge"/>
          <c:x val="0.15529855643044616"/>
          <c:y val="3.03030303030303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'Human Society Pets Adoption'!$B$3:$C$3</c:f>
              <c:strCache>
                <c:ptCount val="2"/>
                <c:pt idx="0">
                  <c:v>Cat</c:v>
                </c:pt>
                <c:pt idx="1">
                  <c:v>Dog</c:v>
                </c:pt>
              </c:strCache>
            </c:strRef>
          </c:cat>
          <c:val>
            <c:numRef>
              <c:f>'Human Society Pets Adoption'!$B$19:$C$19</c:f>
              <c:numCache>
                <c:formatCode>_-[$$-409]* #,##0_ ;_-[$$-409]* \-#,##0\ ;_-[$$-409]* "-"??_ ;_-@_ </c:formatCode>
                <c:ptCount val="2"/>
                <c:pt idx="0">
                  <c:v>560</c:v>
                </c:pt>
                <c:pt idx="1">
                  <c:v>645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5354424"/>
        <c:axId val="385354816"/>
      </c:barChart>
      <c:catAx>
        <c:axId val="385354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354816"/>
        <c:crosses val="autoZero"/>
        <c:auto val="1"/>
        <c:lblAlgn val="ctr"/>
        <c:lblOffset val="100"/>
        <c:noMultiLvlLbl val="0"/>
      </c:catAx>
      <c:valAx>
        <c:axId val="385354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354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4</xdr:row>
      <xdr:rowOff>23812</xdr:rowOff>
    </xdr:from>
    <xdr:to>
      <xdr:col>10</xdr:col>
      <xdr:colOff>114300</xdr:colOff>
      <xdr:row>19</xdr:row>
      <xdr:rowOff>100012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10</xdr:col>
      <xdr:colOff>342900</xdr:colOff>
      <xdr:row>1</xdr:row>
      <xdr:rowOff>57150</xdr:rowOff>
    </xdr:from>
    <xdr:ext cx="7772400" cy="100584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8900" y="247650"/>
          <a:ext cx="7772400" cy="100584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cation plan"/>
      <sheetName val="Printer Decision "/>
      <sheetName val="TIM AND SUSAN CAR"/>
      <sheetName val="Summary"/>
      <sheetName val="Formulas"/>
      <sheetName val="Name Manager"/>
      <sheetName val="Common Functions"/>
      <sheetName val="Lookup function"/>
      <sheetName val="Charts"/>
      <sheetName val="Data Management "/>
      <sheetName val="Payment"/>
      <sheetName val="Sheet2"/>
      <sheetName val="Gradescore"/>
      <sheetName val="Sheet1"/>
      <sheetName val="Sales"/>
      <sheetName val="Sales(pivot table)"/>
      <sheetName val="Car Inventory"/>
      <sheetName val="Car inventory(pivot table)"/>
      <sheetName val="Loan Interest"/>
      <sheetName val="Shopping List"/>
      <sheetName val="Human Society Pets Adoption"/>
      <sheetName val="TIM AND SUSAN PRINTER "/>
    </sheetNames>
    <sheetDataSet>
      <sheetData sheetId="0"/>
      <sheetData sheetId="1"/>
      <sheetData sheetId="2"/>
      <sheetData sheetId="3"/>
      <sheetData sheetId="4"/>
      <sheetData sheetId="5">
        <row r="7">
          <cell r="H7">
            <v>0.2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2:H19"/>
  <sheetViews>
    <sheetView tabSelected="1" workbookViewId="0">
      <selection activeCell="C20" sqref="C20"/>
    </sheetView>
  </sheetViews>
  <sheetFormatPr defaultRowHeight="15" x14ac:dyDescent="0.25"/>
  <cols>
    <col min="1" max="1" width="19.85546875" bestFit="1" customWidth="1"/>
    <col min="2" max="2" width="8.5703125" bestFit="1" customWidth="1"/>
    <col min="3" max="3" width="7.7109375" bestFit="1" customWidth="1"/>
    <col min="5" max="5" width="12.7109375" bestFit="1" customWidth="1"/>
    <col min="6" max="6" width="13.5703125" bestFit="1" customWidth="1"/>
  </cols>
  <sheetData>
    <row r="2" spans="1:8" x14ac:dyDescent="0.25">
      <c r="D2" s="4"/>
      <c r="E2" s="4"/>
      <c r="F2" s="4"/>
      <c r="H2" s="3"/>
    </row>
    <row r="3" spans="1:8" x14ac:dyDescent="0.25">
      <c r="B3" t="s">
        <v>15</v>
      </c>
      <c r="C3" t="s">
        <v>14</v>
      </c>
      <c r="D3" s="4"/>
      <c r="E3" s="4"/>
      <c r="F3" s="4"/>
      <c r="H3" s="3"/>
    </row>
    <row r="4" spans="1:8" x14ac:dyDescent="0.25">
      <c r="A4" s="10" t="s">
        <v>13</v>
      </c>
      <c r="B4" s="9"/>
      <c r="C4" s="9"/>
      <c r="D4" s="4"/>
      <c r="E4" s="4"/>
      <c r="F4" s="4"/>
      <c r="H4" s="3"/>
    </row>
    <row r="5" spans="1:8" x14ac:dyDescent="0.25">
      <c r="A5" s="9" t="s">
        <v>12</v>
      </c>
      <c r="B5" s="7">
        <v>90</v>
      </c>
      <c r="C5" s="7">
        <v>50</v>
      </c>
      <c r="D5" s="4"/>
      <c r="E5" s="4"/>
      <c r="F5" s="4"/>
      <c r="H5" s="3"/>
    </row>
    <row r="6" spans="1:8" x14ac:dyDescent="0.25">
      <c r="A6" s="9" t="s">
        <v>11</v>
      </c>
      <c r="B6" s="7"/>
      <c r="C6" s="7">
        <v>3</v>
      </c>
      <c r="D6" s="4"/>
      <c r="E6" s="4"/>
      <c r="F6" s="4"/>
      <c r="H6" s="3"/>
    </row>
    <row r="7" spans="1:8" x14ac:dyDescent="0.25">
      <c r="A7" s="9" t="s">
        <v>10</v>
      </c>
      <c r="B7" s="7">
        <v>7</v>
      </c>
      <c r="C7" s="7">
        <v>7</v>
      </c>
      <c r="D7" s="4"/>
      <c r="E7" s="4"/>
      <c r="F7" s="4"/>
      <c r="H7" s="3"/>
    </row>
    <row r="8" spans="1:8" x14ac:dyDescent="0.25">
      <c r="A8" s="9" t="s">
        <v>9</v>
      </c>
      <c r="B8" s="7">
        <v>4.5</v>
      </c>
      <c r="C8" s="7">
        <v>5.5</v>
      </c>
      <c r="D8" s="4"/>
      <c r="E8" s="4"/>
      <c r="F8" s="4"/>
      <c r="H8" s="3"/>
    </row>
    <row r="9" spans="1:8" x14ac:dyDescent="0.25">
      <c r="A9" s="9" t="s">
        <v>8</v>
      </c>
      <c r="B9" s="7">
        <v>2.5</v>
      </c>
      <c r="C9" s="7">
        <v>3.5</v>
      </c>
      <c r="D9" s="4"/>
      <c r="E9" s="4"/>
      <c r="F9" s="4"/>
      <c r="H9" s="3"/>
    </row>
    <row r="10" spans="1:8" x14ac:dyDescent="0.25">
      <c r="A10" s="8" t="s">
        <v>7</v>
      </c>
      <c r="B10" s="7">
        <f>SUM(B5:B9)</f>
        <v>104</v>
      </c>
      <c r="C10" s="7">
        <f>SUM(C5:C9)</f>
        <v>69</v>
      </c>
      <c r="D10" s="4"/>
      <c r="E10" s="4"/>
      <c r="F10" s="4"/>
      <c r="H10" s="3"/>
    </row>
    <row r="11" spans="1:8" x14ac:dyDescent="0.25">
      <c r="D11" s="4"/>
      <c r="E11" s="4"/>
      <c r="F11" s="4"/>
      <c r="H11" s="3"/>
    </row>
    <row r="12" spans="1:8" x14ac:dyDescent="0.25">
      <c r="A12" s="6" t="s">
        <v>6</v>
      </c>
      <c r="B12" s="2"/>
      <c r="C12" s="2"/>
      <c r="D12" s="4"/>
      <c r="E12" s="4"/>
      <c r="F12" s="4"/>
      <c r="H12" s="3"/>
    </row>
    <row r="13" spans="1:8" x14ac:dyDescent="0.25">
      <c r="A13" s="2" t="s">
        <v>5</v>
      </c>
      <c r="B13" s="5">
        <v>11</v>
      </c>
      <c r="C13" s="5">
        <v>21</v>
      </c>
      <c r="D13" s="4"/>
      <c r="E13" s="4"/>
      <c r="F13" s="4"/>
      <c r="H13" s="3"/>
    </row>
    <row r="14" spans="1:8" x14ac:dyDescent="0.25">
      <c r="A14" s="2" t="s">
        <v>4</v>
      </c>
      <c r="B14" s="5">
        <v>8</v>
      </c>
      <c r="C14" s="5">
        <v>0</v>
      </c>
      <c r="D14" s="4"/>
      <c r="E14" s="4"/>
      <c r="F14" s="4"/>
      <c r="H14" s="3"/>
    </row>
    <row r="15" spans="1:8" x14ac:dyDescent="0.25">
      <c r="A15" s="2" t="s">
        <v>3</v>
      </c>
      <c r="B15" s="5">
        <v>0</v>
      </c>
      <c r="C15" s="5">
        <v>3</v>
      </c>
      <c r="D15" s="4"/>
      <c r="E15" s="4"/>
      <c r="F15" s="4"/>
      <c r="H15" s="3"/>
    </row>
    <row r="16" spans="1:8" x14ac:dyDescent="0.25">
      <c r="A16" s="2" t="s">
        <v>2</v>
      </c>
      <c r="B16" s="5">
        <f>SUM(B13*2,B14*2)</f>
        <v>38</v>
      </c>
      <c r="C16" s="5">
        <f>SUM(C13*2,C15*2)</f>
        <v>48</v>
      </c>
      <c r="D16" s="4"/>
      <c r="E16" s="4"/>
      <c r="F16" s="4"/>
      <c r="H16" s="3"/>
    </row>
    <row r="17" spans="1:3" x14ac:dyDescent="0.25">
      <c r="A17" s="2" t="s">
        <v>1</v>
      </c>
      <c r="B17" s="1">
        <f>B16*12</f>
        <v>456</v>
      </c>
      <c r="C17" s="1">
        <f>C16*12</f>
        <v>576</v>
      </c>
    </row>
    <row r="19" spans="1:3" x14ac:dyDescent="0.25">
      <c r="A19" t="s">
        <v>0</v>
      </c>
      <c r="B19" s="1">
        <f>B10+B17</f>
        <v>560</v>
      </c>
      <c r="C19" s="1">
        <f>C10+C17</f>
        <v>645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 Society Pets Adoption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2026-09-24T11:17:44Z</dcterms:created>
  <dcterms:modified xsi:type="dcterms:W3CDTF">2026-09-24T11:18:28Z</dcterms:modified>
</cp:coreProperties>
</file>