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esktop\Data Analysis\"/>
    </mc:Choice>
  </mc:AlternateContent>
  <bookViews>
    <workbookView xWindow="0" yWindow="0" windowWidth="20490" windowHeight="7365"/>
  </bookViews>
  <sheets>
    <sheet name="Payment" sheetId="8" r:id="rId1"/>
  </sheets>
  <externalReferences>
    <externalReference r:id="rId2"/>
    <externalReference r:id="rId3"/>
    <externalReference r:id="rId4"/>
    <externalReference r:id="rId5"/>
  </externalReferences>
  <definedNames>
    <definedName name="Taxrate">'[1]Name Manager'!$H$7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4" i="8" l="1"/>
  <c r="T4" i="8"/>
  <c r="AD4" i="8"/>
  <c r="Y5" i="8"/>
  <c r="T5" i="8"/>
  <c r="AD5" i="8"/>
  <c r="Y6" i="8"/>
  <c r="T6" i="8"/>
  <c r="AD6" i="8"/>
  <c r="Y7" i="8"/>
  <c r="T7" i="8"/>
  <c r="AD7" i="8"/>
  <c r="Y8" i="8"/>
  <c r="T8" i="8"/>
  <c r="AD8" i="8"/>
  <c r="Y9" i="8"/>
  <c r="T9" i="8"/>
  <c r="AD9" i="8"/>
  <c r="Y10" i="8"/>
  <c r="T10" i="8"/>
  <c r="AD10" i="8"/>
  <c r="Y11" i="8"/>
  <c r="T11" i="8"/>
  <c r="AD11" i="8"/>
  <c r="Y12" i="8"/>
  <c r="T12" i="8"/>
  <c r="AD12" i="8"/>
  <c r="Y13" i="8"/>
  <c r="T13" i="8"/>
  <c r="AD13" i="8"/>
  <c r="Y14" i="8"/>
  <c r="T14" i="8"/>
  <c r="AD14" i="8"/>
  <c r="Y15" i="8"/>
  <c r="T15" i="8"/>
  <c r="AD15" i="8"/>
  <c r="Y16" i="8"/>
  <c r="T16" i="8"/>
  <c r="AD16" i="8"/>
  <c r="Y17" i="8"/>
  <c r="T17" i="8"/>
  <c r="AD17" i="8"/>
  <c r="Y18" i="8"/>
  <c r="T18" i="8"/>
  <c r="AD18" i="8"/>
  <c r="Y19" i="8"/>
  <c r="T19" i="8"/>
  <c r="AD19" i="8"/>
  <c r="Y20" i="8"/>
  <c r="T20" i="8"/>
  <c r="AD20" i="8"/>
  <c r="Y21" i="8"/>
  <c r="T21" i="8"/>
  <c r="AD21" i="8"/>
  <c r="Y22" i="8"/>
  <c r="T22" i="8"/>
  <c r="AD22" i="8"/>
  <c r="Y23" i="8"/>
  <c r="T23" i="8"/>
  <c r="AD23" i="8"/>
  <c r="Y24" i="8"/>
  <c r="T24" i="8"/>
  <c r="AD24" i="8"/>
  <c r="Y25" i="8"/>
  <c r="T25" i="8"/>
  <c r="AD25" i="8"/>
  <c r="Y26" i="8"/>
  <c r="T26" i="8"/>
  <c r="AD26" i="8"/>
  <c r="Y27" i="8"/>
  <c r="T27" i="8"/>
  <c r="AD27" i="8"/>
  <c r="Y28" i="8"/>
  <c r="T28" i="8"/>
  <c r="AD28" i="8"/>
  <c r="Y29" i="8"/>
  <c r="T29" i="8"/>
  <c r="AD29" i="8"/>
  <c r="Y30" i="8"/>
  <c r="T30" i="8"/>
  <c r="AD30" i="8"/>
  <c r="Y31" i="8"/>
  <c r="T31" i="8"/>
  <c r="AD31" i="8"/>
  <c r="Y32" i="8"/>
  <c r="T32" i="8"/>
  <c r="AD32" i="8"/>
  <c r="Y33" i="8"/>
  <c r="T33" i="8"/>
  <c r="AD33" i="8"/>
  <c r="Y34" i="8"/>
  <c r="T34" i="8"/>
  <c r="AD34" i="8"/>
  <c r="Y35" i="8"/>
  <c r="T35" i="8"/>
  <c r="AD35" i="8"/>
  <c r="Y36" i="8"/>
  <c r="T36" i="8"/>
  <c r="AD36" i="8"/>
  <c r="Y37" i="8"/>
  <c r="T37" i="8"/>
  <c r="AD37" i="8"/>
  <c r="Y38" i="8"/>
  <c r="T38" i="8"/>
  <c r="AD38" i="8"/>
  <c r="Y39" i="8"/>
  <c r="T39" i="8"/>
  <c r="AD39" i="8"/>
  <c r="Y40" i="8"/>
  <c r="T40" i="8"/>
  <c r="AD40" i="8"/>
  <c r="Y41" i="8"/>
  <c r="T41" i="8"/>
  <c r="AD41" i="8"/>
  <c r="Y42" i="8"/>
  <c r="T42" i="8"/>
  <c r="AD42" i="8"/>
  <c r="Y43" i="8"/>
  <c r="T43" i="8"/>
  <c r="AD43" i="8"/>
  <c r="Y44" i="8"/>
  <c r="T44" i="8"/>
  <c r="AD44" i="8"/>
  <c r="Y45" i="8"/>
  <c r="T45" i="8"/>
  <c r="AD45" i="8"/>
  <c r="Y46" i="8"/>
  <c r="T46" i="8"/>
  <c r="AD46" i="8"/>
  <c r="Y47" i="8"/>
  <c r="T47" i="8"/>
  <c r="AD47" i="8"/>
  <c r="Y48" i="8"/>
  <c r="T48" i="8"/>
  <c r="AD48" i="8"/>
  <c r="Y49" i="8"/>
  <c r="T49" i="8"/>
  <c r="AD49" i="8"/>
  <c r="Y50" i="8"/>
  <c r="T50" i="8"/>
  <c r="AD50" i="8"/>
  <c r="Y51" i="8"/>
  <c r="T51" i="8"/>
  <c r="AD51" i="8"/>
  <c r="Y52" i="8"/>
  <c r="T52" i="8"/>
  <c r="AD52" i="8"/>
  <c r="Y53" i="8"/>
  <c r="T53" i="8"/>
  <c r="AD53" i="8"/>
  <c r="Y54" i="8"/>
  <c r="T54" i="8"/>
  <c r="AD54" i="8"/>
  <c r="Y55" i="8"/>
  <c r="T55" i="8"/>
  <c r="AD55" i="8"/>
  <c r="Y56" i="8"/>
  <c r="T56" i="8"/>
  <c r="AD56" i="8"/>
  <c r="Y57" i="8"/>
  <c r="T57" i="8"/>
  <c r="AD57" i="8"/>
  <c r="Y58" i="8"/>
  <c r="T58" i="8"/>
  <c r="AD58" i="8"/>
  <c r="Y59" i="8"/>
  <c r="T59" i="8"/>
  <c r="AD59" i="8"/>
  <c r="Y60" i="8"/>
  <c r="T60" i="8"/>
  <c r="AD60" i="8"/>
  <c r="Y61" i="8"/>
  <c r="T61" i="8"/>
  <c r="AD61" i="8"/>
  <c r="Y62" i="8"/>
  <c r="T62" i="8"/>
  <c r="AD62" i="8"/>
  <c r="Y63" i="8"/>
  <c r="T63" i="8"/>
  <c r="AD63" i="8"/>
  <c r="Y64" i="8"/>
  <c r="T64" i="8"/>
  <c r="AD64" i="8"/>
  <c r="Y65" i="8"/>
  <c r="T65" i="8"/>
  <c r="AD65" i="8"/>
  <c r="Y66" i="8"/>
  <c r="T66" i="8"/>
  <c r="AD66" i="8"/>
  <c r="Y67" i="8"/>
  <c r="T67" i="8"/>
  <c r="AD67" i="8"/>
  <c r="Y68" i="8"/>
  <c r="T68" i="8"/>
  <c r="AD68" i="8"/>
  <c r="Y69" i="8"/>
  <c r="T69" i="8"/>
  <c r="AD69" i="8"/>
  <c r="Y70" i="8"/>
  <c r="T70" i="8"/>
  <c r="AD70" i="8"/>
  <c r="Y71" i="8"/>
  <c r="T71" i="8"/>
  <c r="AD71" i="8"/>
  <c r="Y72" i="8"/>
  <c r="T72" i="8"/>
  <c r="AD72" i="8"/>
  <c r="Y73" i="8"/>
  <c r="T73" i="8"/>
  <c r="AD73" i="8"/>
  <c r="Y74" i="8"/>
  <c r="T74" i="8"/>
  <c r="AD74" i="8"/>
  <c r="Y75" i="8"/>
  <c r="T75" i="8"/>
  <c r="AD75" i="8"/>
  <c r="Y76" i="8"/>
  <c r="T76" i="8"/>
  <c r="AD76" i="8"/>
  <c r="Y77" i="8"/>
  <c r="T77" i="8"/>
  <c r="AD77" i="8"/>
  <c r="Y78" i="8"/>
  <c r="T78" i="8"/>
  <c r="AD78" i="8"/>
  <c r="Y79" i="8"/>
  <c r="T79" i="8"/>
  <c r="AD79" i="8"/>
  <c r="Y80" i="8"/>
  <c r="T80" i="8"/>
  <c r="AD80" i="8"/>
  <c r="Y81" i="8"/>
  <c r="T81" i="8"/>
  <c r="AD81" i="8"/>
  <c r="Y82" i="8"/>
  <c r="T82" i="8"/>
  <c r="AD82" i="8"/>
  <c r="Y83" i="8"/>
  <c r="T83" i="8"/>
  <c r="AD83" i="8"/>
  <c r="Y84" i="8"/>
  <c r="T84" i="8"/>
  <c r="AD84" i="8"/>
  <c r="Y85" i="8"/>
  <c r="T85" i="8"/>
  <c r="AD85" i="8"/>
  <c r="Y86" i="8"/>
  <c r="T86" i="8"/>
  <c r="AD86" i="8"/>
  <c r="Y87" i="8"/>
  <c r="T87" i="8"/>
  <c r="AD87" i="8"/>
  <c r="Y88" i="8"/>
  <c r="T88" i="8"/>
  <c r="AD88" i="8"/>
  <c r="Y89" i="8"/>
  <c r="T89" i="8"/>
  <c r="AD89" i="8"/>
  <c r="AD94" i="8"/>
  <c r="N4" i="8"/>
  <c r="X4" i="8"/>
  <c r="S4" i="8"/>
  <c r="AC4" i="8"/>
  <c r="N5" i="8"/>
  <c r="X5" i="8"/>
  <c r="S5" i="8"/>
  <c r="AC5" i="8"/>
  <c r="N6" i="8"/>
  <c r="X6" i="8"/>
  <c r="S6" i="8"/>
  <c r="AC6" i="8"/>
  <c r="N7" i="8"/>
  <c r="X7" i="8"/>
  <c r="S7" i="8"/>
  <c r="AC7" i="8"/>
  <c r="N8" i="8"/>
  <c r="X8" i="8"/>
  <c r="S8" i="8"/>
  <c r="AC8" i="8"/>
  <c r="N9" i="8"/>
  <c r="X9" i="8"/>
  <c r="S9" i="8"/>
  <c r="AC9" i="8"/>
  <c r="N10" i="8"/>
  <c r="X10" i="8"/>
  <c r="S10" i="8"/>
  <c r="AC10" i="8"/>
  <c r="N11" i="8"/>
  <c r="X11" i="8"/>
  <c r="S11" i="8"/>
  <c r="AC11" i="8"/>
  <c r="N12" i="8"/>
  <c r="X12" i="8"/>
  <c r="S12" i="8"/>
  <c r="AC12" i="8"/>
  <c r="N13" i="8"/>
  <c r="X13" i="8"/>
  <c r="S13" i="8"/>
  <c r="AC13" i="8"/>
  <c r="N14" i="8"/>
  <c r="X14" i="8"/>
  <c r="S14" i="8"/>
  <c r="AC14" i="8"/>
  <c r="N15" i="8"/>
  <c r="X15" i="8"/>
  <c r="S15" i="8"/>
  <c r="AC15" i="8"/>
  <c r="N16" i="8"/>
  <c r="X16" i="8"/>
  <c r="S16" i="8"/>
  <c r="AC16" i="8"/>
  <c r="N17" i="8"/>
  <c r="X17" i="8"/>
  <c r="S17" i="8"/>
  <c r="AC17" i="8"/>
  <c r="N18" i="8"/>
  <c r="X18" i="8"/>
  <c r="S18" i="8"/>
  <c r="AC18" i="8"/>
  <c r="N19" i="8"/>
  <c r="X19" i="8"/>
  <c r="S19" i="8"/>
  <c r="AC19" i="8"/>
  <c r="N20" i="8"/>
  <c r="X20" i="8"/>
  <c r="S20" i="8"/>
  <c r="AC20" i="8"/>
  <c r="N21" i="8"/>
  <c r="X21" i="8"/>
  <c r="S21" i="8"/>
  <c r="AC21" i="8"/>
  <c r="N22" i="8"/>
  <c r="X22" i="8"/>
  <c r="S22" i="8"/>
  <c r="AC22" i="8"/>
  <c r="N23" i="8"/>
  <c r="X23" i="8"/>
  <c r="S23" i="8"/>
  <c r="AC23" i="8"/>
  <c r="N24" i="8"/>
  <c r="X24" i="8"/>
  <c r="S24" i="8"/>
  <c r="AC24" i="8"/>
  <c r="N25" i="8"/>
  <c r="X25" i="8"/>
  <c r="S25" i="8"/>
  <c r="AC25" i="8"/>
  <c r="N26" i="8"/>
  <c r="X26" i="8"/>
  <c r="S26" i="8"/>
  <c r="AC26" i="8"/>
  <c r="N27" i="8"/>
  <c r="X27" i="8"/>
  <c r="S27" i="8"/>
  <c r="AC27" i="8"/>
  <c r="N28" i="8"/>
  <c r="X28" i="8"/>
  <c r="S28" i="8"/>
  <c r="AC28" i="8"/>
  <c r="N29" i="8"/>
  <c r="X29" i="8"/>
  <c r="S29" i="8"/>
  <c r="AC29" i="8"/>
  <c r="N30" i="8"/>
  <c r="X30" i="8"/>
  <c r="S30" i="8"/>
  <c r="AC30" i="8"/>
  <c r="N31" i="8"/>
  <c r="X31" i="8"/>
  <c r="S31" i="8"/>
  <c r="AC31" i="8"/>
  <c r="N32" i="8"/>
  <c r="X32" i="8"/>
  <c r="S32" i="8"/>
  <c r="AC32" i="8"/>
  <c r="N33" i="8"/>
  <c r="X33" i="8"/>
  <c r="S33" i="8"/>
  <c r="AC33" i="8"/>
  <c r="N34" i="8"/>
  <c r="X34" i="8"/>
  <c r="S34" i="8"/>
  <c r="AC34" i="8"/>
  <c r="N35" i="8"/>
  <c r="X35" i="8"/>
  <c r="S35" i="8"/>
  <c r="AC35" i="8"/>
  <c r="N36" i="8"/>
  <c r="X36" i="8"/>
  <c r="S36" i="8"/>
  <c r="AC36" i="8"/>
  <c r="N37" i="8"/>
  <c r="X37" i="8"/>
  <c r="S37" i="8"/>
  <c r="AC37" i="8"/>
  <c r="N38" i="8"/>
  <c r="X38" i="8"/>
  <c r="S38" i="8"/>
  <c r="AC38" i="8"/>
  <c r="N39" i="8"/>
  <c r="X39" i="8"/>
  <c r="S39" i="8"/>
  <c r="AC39" i="8"/>
  <c r="N40" i="8"/>
  <c r="X40" i="8"/>
  <c r="S40" i="8"/>
  <c r="AC40" i="8"/>
  <c r="N41" i="8"/>
  <c r="X41" i="8"/>
  <c r="S41" i="8"/>
  <c r="AC41" i="8"/>
  <c r="N42" i="8"/>
  <c r="X42" i="8"/>
  <c r="S42" i="8"/>
  <c r="AC42" i="8"/>
  <c r="N43" i="8"/>
  <c r="X43" i="8"/>
  <c r="S43" i="8"/>
  <c r="AC43" i="8"/>
  <c r="N44" i="8"/>
  <c r="X44" i="8"/>
  <c r="S44" i="8"/>
  <c r="AC44" i="8"/>
  <c r="N45" i="8"/>
  <c r="X45" i="8"/>
  <c r="S45" i="8"/>
  <c r="AC45" i="8"/>
  <c r="N46" i="8"/>
  <c r="X46" i="8"/>
  <c r="S46" i="8"/>
  <c r="AC46" i="8"/>
  <c r="N47" i="8"/>
  <c r="X47" i="8"/>
  <c r="S47" i="8"/>
  <c r="AC47" i="8"/>
  <c r="N48" i="8"/>
  <c r="X48" i="8"/>
  <c r="S48" i="8"/>
  <c r="AC48" i="8"/>
  <c r="N49" i="8"/>
  <c r="X49" i="8"/>
  <c r="S49" i="8"/>
  <c r="AC49" i="8"/>
  <c r="N50" i="8"/>
  <c r="X50" i="8"/>
  <c r="S50" i="8"/>
  <c r="AC50" i="8"/>
  <c r="N51" i="8"/>
  <c r="X51" i="8"/>
  <c r="S51" i="8"/>
  <c r="AC51" i="8"/>
  <c r="N52" i="8"/>
  <c r="X52" i="8"/>
  <c r="S52" i="8"/>
  <c r="AC52" i="8"/>
  <c r="N53" i="8"/>
  <c r="X53" i="8"/>
  <c r="S53" i="8"/>
  <c r="AC53" i="8"/>
  <c r="N54" i="8"/>
  <c r="X54" i="8"/>
  <c r="S54" i="8"/>
  <c r="AC54" i="8"/>
  <c r="N55" i="8"/>
  <c r="X55" i="8"/>
  <c r="S55" i="8"/>
  <c r="AC55" i="8"/>
  <c r="N56" i="8"/>
  <c r="X56" i="8"/>
  <c r="S56" i="8"/>
  <c r="AC56" i="8"/>
  <c r="N57" i="8"/>
  <c r="X57" i="8"/>
  <c r="S57" i="8"/>
  <c r="AC57" i="8"/>
  <c r="N58" i="8"/>
  <c r="X58" i="8"/>
  <c r="S58" i="8"/>
  <c r="AC58" i="8"/>
  <c r="N59" i="8"/>
  <c r="X59" i="8"/>
  <c r="S59" i="8"/>
  <c r="AC59" i="8"/>
  <c r="N60" i="8"/>
  <c r="X60" i="8"/>
  <c r="S60" i="8"/>
  <c r="AC60" i="8"/>
  <c r="N61" i="8"/>
  <c r="X61" i="8"/>
  <c r="S61" i="8"/>
  <c r="AC61" i="8"/>
  <c r="N62" i="8"/>
  <c r="X62" i="8"/>
  <c r="S62" i="8"/>
  <c r="AC62" i="8"/>
  <c r="N63" i="8"/>
  <c r="X63" i="8"/>
  <c r="S63" i="8"/>
  <c r="AC63" i="8"/>
  <c r="N64" i="8"/>
  <c r="X64" i="8"/>
  <c r="S64" i="8"/>
  <c r="AC64" i="8"/>
  <c r="N65" i="8"/>
  <c r="X65" i="8"/>
  <c r="S65" i="8"/>
  <c r="AC65" i="8"/>
  <c r="N66" i="8"/>
  <c r="X66" i="8"/>
  <c r="S66" i="8"/>
  <c r="AC66" i="8"/>
  <c r="N67" i="8"/>
  <c r="X67" i="8"/>
  <c r="S67" i="8"/>
  <c r="AC67" i="8"/>
  <c r="N68" i="8"/>
  <c r="X68" i="8"/>
  <c r="S68" i="8"/>
  <c r="AC68" i="8"/>
  <c r="N69" i="8"/>
  <c r="X69" i="8"/>
  <c r="S69" i="8"/>
  <c r="AC69" i="8"/>
  <c r="N70" i="8"/>
  <c r="X70" i="8"/>
  <c r="S70" i="8"/>
  <c r="AC70" i="8"/>
  <c r="N71" i="8"/>
  <c r="X71" i="8"/>
  <c r="S71" i="8"/>
  <c r="AC71" i="8"/>
  <c r="N72" i="8"/>
  <c r="X72" i="8"/>
  <c r="S72" i="8"/>
  <c r="AC72" i="8"/>
  <c r="N73" i="8"/>
  <c r="X73" i="8"/>
  <c r="S73" i="8"/>
  <c r="AC73" i="8"/>
  <c r="N74" i="8"/>
  <c r="X74" i="8"/>
  <c r="S74" i="8"/>
  <c r="AC74" i="8"/>
  <c r="N75" i="8"/>
  <c r="X75" i="8"/>
  <c r="S75" i="8"/>
  <c r="AC75" i="8"/>
  <c r="N76" i="8"/>
  <c r="X76" i="8"/>
  <c r="S76" i="8"/>
  <c r="AC76" i="8"/>
  <c r="N77" i="8"/>
  <c r="X77" i="8"/>
  <c r="S77" i="8"/>
  <c r="AC77" i="8"/>
  <c r="N78" i="8"/>
  <c r="X78" i="8"/>
  <c r="S78" i="8"/>
  <c r="AC78" i="8"/>
  <c r="N79" i="8"/>
  <c r="X79" i="8"/>
  <c r="S79" i="8"/>
  <c r="AC79" i="8"/>
  <c r="N80" i="8"/>
  <c r="X80" i="8"/>
  <c r="S80" i="8"/>
  <c r="AC80" i="8"/>
  <c r="N81" i="8"/>
  <c r="X81" i="8"/>
  <c r="S81" i="8"/>
  <c r="AC81" i="8"/>
  <c r="N82" i="8"/>
  <c r="X82" i="8"/>
  <c r="S82" i="8"/>
  <c r="AC82" i="8"/>
  <c r="N83" i="8"/>
  <c r="X83" i="8"/>
  <c r="S83" i="8"/>
  <c r="AC83" i="8"/>
  <c r="N84" i="8"/>
  <c r="X84" i="8"/>
  <c r="S84" i="8"/>
  <c r="AC84" i="8"/>
  <c r="N85" i="8"/>
  <c r="X85" i="8"/>
  <c r="S85" i="8"/>
  <c r="AC85" i="8"/>
  <c r="N86" i="8"/>
  <c r="X86" i="8"/>
  <c r="S86" i="8"/>
  <c r="AC86" i="8"/>
  <c r="N87" i="8"/>
  <c r="X87" i="8"/>
  <c r="S87" i="8"/>
  <c r="AC87" i="8"/>
  <c r="N88" i="8"/>
  <c r="X88" i="8"/>
  <c r="S88" i="8"/>
  <c r="AC88" i="8"/>
  <c r="N89" i="8"/>
  <c r="X89" i="8"/>
  <c r="S89" i="8"/>
  <c r="AC89" i="8"/>
  <c r="AC94" i="8"/>
  <c r="M4" i="8"/>
  <c r="W4" i="8"/>
  <c r="R4" i="8"/>
  <c r="AB4" i="8"/>
  <c r="M5" i="8"/>
  <c r="W5" i="8"/>
  <c r="R5" i="8"/>
  <c r="AB5" i="8"/>
  <c r="M6" i="8"/>
  <c r="W6" i="8"/>
  <c r="R6" i="8"/>
  <c r="AB6" i="8"/>
  <c r="M7" i="8"/>
  <c r="W7" i="8"/>
  <c r="R7" i="8"/>
  <c r="AB7" i="8"/>
  <c r="M8" i="8"/>
  <c r="W8" i="8"/>
  <c r="R8" i="8"/>
  <c r="AB8" i="8"/>
  <c r="M9" i="8"/>
  <c r="W9" i="8"/>
  <c r="R9" i="8"/>
  <c r="AB9" i="8"/>
  <c r="M10" i="8"/>
  <c r="W10" i="8"/>
  <c r="R10" i="8"/>
  <c r="AB10" i="8"/>
  <c r="M11" i="8"/>
  <c r="W11" i="8"/>
  <c r="R11" i="8"/>
  <c r="AB11" i="8"/>
  <c r="M12" i="8"/>
  <c r="W12" i="8"/>
  <c r="R12" i="8"/>
  <c r="AB12" i="8"/>
  <c r="M13" i="8"/>
  <c r="W13" i="8"/>
  <c r="R13" i="8"/>
  <c r="AB13" i="8"/>
  <c r="M14" i="8"/>
  <c r="W14" i="8"/>
  <c r="R14" i="8"/>
  <c r="AB14" i="8"/>
  <c r="M15" i="8"/>
  <c r="W15" i="8"/>
  <c r="R15" i="8"/>
  <c r="AB15" i="8"/>
  <c r="M16" i="8"/>
  <c r="W16" i="8"/>
  <c r="R16" i="8"/>
  <c r="AB16" i="8"/>
  <c r="M17" i="8"/>
  <c r="W17" i="8"/>
  <c r="R17" i="8"/>
  <c r="AB17" i="8"/>
  <c r="M18" i="8"/>
  <c r="W18" i="8"/>
  <c r="R18" i="8"/>
  <c r="AB18" i="8"/>
  <c r="M19" i="8"/>
  <c r="W19" i="8"/>
  <c r="R19" i="8"/>
  <c r="AB19" i="8"/>
  <c r="M20" i="8"/>
  <c r="W20" i="8"/>
  <c r="R20" i="8"/>
  <c r="AB20" i="8"/>
  <c r="M21" i="8"/>
  <c r="W21" i="8"/>
  <c r="R21" i="8"/>
  <c r="AB21" i="8"/>
  <c r="M22" i="8"/>
  <c r="W22" i="8"/>
  <c r="R22" i="8"/>
  <c r="AB22" i="8"/>
  <c r="M23" i="8"/>
  <c r="W23" i="8"/>
  <c r="R23" i="8"/>
  <c r="AB23" i="8"/>
  <c r="M24" i="8"/>
  <c r="W24" i="8"/>
  <c r="R24" i="8"/>
  <c r="AB24" i="8"/>
  <c r="M25" i="8"/>
  <c r="W25" i="8"/>
  <c r="R25" i="8"/>
  <c r="AB25" i="8"/>
  <c r="M26" i="8"/>
  <c r="W26" i="8"/>
  <c r="R26" i="8"/>
  <c r="AB26" i="8"/>
  <c r="M27" i="8"/>
  <c r="W27" i="8"/>
  <c r="R27" i="8"/>
  <c r="AB27" i="8"/>
  <c r="M28" i="8"/>
  <c r="W28" i="8"/>
  <c r="R28" i="8"/>
  <c r="AB28" i="8"/>
  <c r="M29" i="8"/>
  <c r="W29" i="8"/>
  <c r="R29" i="8"/>
  <c r="AB29" i="8"/>
  <c r="M30" i="8"/>
  <c r="W30" i="8"/>
  <c r="R30" i="8"/>
  <c r="AB30" i="8"/>
  <c r="M31" i="8"/>
  <c r="W31" i="8"/>
  <c r="R31" i="8"/>
  <c r="AB31" i="8"/>
  <c r="M32" i="8"/>
  <c r="W32" i="8"/>
  <c r="R32" i="8"/>
  <c r="AB32" i="8"/>
  <c r="M33" i="8"/>
  <c r="W33" i="8"/>
  <c r="R33" i="8"/>
  <c r="AB33" i="8"/>
  <c r="M34" i="8"/>
  <c r="W34" i="8"/>
  <c r="R34" i="8"/>
  <c r="AB34" i="8"/>
  <c r="M35" i="8"/>
  <c r="W35" i="8"/>
  <c r="R35" i="8"/>
  <c r="AB35" i="8"/>
  <c r="M36" i="8"/>
  <c r="W36" i="8"/>
  <c r="R36" i="8"/>
  <c r="AB36" i="8"/>
  <c r="M37" i="8"/>
  <c r="W37" i="8"/>
  <c r="R37" i="8"/>
  <c r="AB37" i="8"/>
  <c r="M38" i="8"/>
  <c r="W38" i="8"/>
  <c r="R38" i="8"/>
  <c r="AB38" i="8"/>
  <c r="M39" i="8"/>
  <c r="W39" i="8"/>
  <c r="R39" i="8"/>
  <c r="AB39" i="8"/>
  <c r="M40" i="8"/>
  <c r="W40" i="8"/>
  <c r="R40" i="8"/>
  <c r="AB40" i="8"/>
  <c r="M41" i="8"/>
  <c r="W41" i="8"/>
  <c r="R41" i="8"/>
  <c r="AB41" i="8"/>
  <c r="M42" i="8"/>
  <c r="W42" i="8"/>
  <c r="R42" i="8"/>
  <c r="AB42" i="8"/>
  <c r="M43" i="8"/>
  <c r="W43" i="8"/>
  <c r="R43" i="8"/>
  <c r="AB43" i="8"/>
  <c r="M44" i="8"/>
  <c r="W44" i="8"/>
  <c r="R44" i="8"/>
  <c r="AB44" i="8"/>
  <c r="M45" i="8"/>
  <c r="W45" i="8"/>
  <c r="R45" i="8"/>
  <c r="AB45" i="8"/>
  <c r="M46" i="8"/>
  <c r="W46" i="8"/>
  <c r="R46" i="8"/>
  <c r="AB46" i="8"/>
  <c r="M47" i="8"/>
  <c r="W47" i="8"/>
  <c r="R47" i="8"/>
  <c r="AB47" i="8"/>
  <c r="M48" i="8"/>
  <c r="W48" i="8"/>
  <c r="R48" i="8"/>
  <c r="AB48" i="8"/>
  <c r="M49" i="8"/>
  <c r="W49" i="8"/>
  <c r="R49" i="8"/>
  <c r="AB49" i="8"/>
  <c r="M50" i="8"/>
  <c r="W50" i="8"/>
  <c r="R50" i="8"/>
  <c r="AB50" i="8"/>
  <c r="M51" i="8"/>
  <c r="W51" i="8"/>
  <c r="R51" i="8"/>
  <c r="AB51" i="8"/>
  <c r="M52" i="8"/>
  <c r="W52" i="8"/>
  <c r="R52" i="8"/>
  <c r="AB52" i="8"/>
  <c r="M53" i="8"/>
  <c r="W53" i="8"/>
  <c r="R53" i="8"/>
  <c r="AB53" i="8"/>
  <c r="M54" i="8"/>
  <c r="W54" i="8"/>
  <c r="R54" i="8"/>
  <c r="AB54" i="8"/>
  <c r="M55" i="8"/>
  <c r="W55" i="8"/>
  <c r="R55" i="8"/>
  <c r="AB55" i="8"/>
  <c r="M56" i="8"/>
  <c r="W56" i="8"/>
  <c r="R56" i="8"/>
  <c r="AB56" i="8"/>
  <c r="M57" i="8"/>
  <c r="W57" i="8"/>
  <c r="R57" i="8"/>
  <c r="AB57" i="8"/>
  <c r="M58" i="8"/>
  <c r="W58" i="8"/>
  <c r="R58" i="8"/>
  <c r="AB58" i="8"/>
  <c r="M59" i="8"/>
  <c r="W59" i="8"/>
  <c r="R59" i="8"/>
  <c r="AB59" i="8"/>
  <c r="M60" i="8"/>
  <c r="W60" i="8"/>
  <c r="R60" i="8"/>
  <c r="AB60" i="8"/>
  <c r="M61" i="8"/>
  <c r="W61" i="8"/>
  <c r="R61" i="8"/>
  <c r="AB61" i="8"/>
  <c r="M62" i="8"/>
  <c r="W62" i="8"/>
  <c r="R62" i="8"/>
  <c r="AB62" i="8"/>
  <c r="M63" i="8"/>
  <c r="W63" i="8"/>
  <c r="R63" i="8"/>
  <c r="AB63" i="8"/>
  <c r="M64" i="8"/>
  <c r="W64" i="8"/>
  <c r="R64" i="8"/>
  <c r="AB64" i="8"/>
  <c r="M65" i="8"/>
  <c r="W65" i="8"/>
  <c r="R65" i="8"/>
  <c r="AB65" i="8"/>
  <c r="M66" i="8"/>
  <c r="W66" i="8"/>
  <c r="R66" i="8"/>
  <c r="AB66" i="8"/>
  <c r="M67" i="8"/>
  <c r="W67" i="8"/>
  <c r="R67" i="8"/>
  <c r="AB67" i="8"/>
  <c r="M68" i="8"/>
  <c r="W68" i="8"/>
  <c r="R68" i="8"/>
  <c r="AB68" i="8"/>
  <c r="M69" i="8"/>
  <c r="W69" i="8"/>
  <c r="R69" i="8"/>
  <c r="AB69" i="8"/>
  <c r="M70" i="8"/>
  <c r="W70" i="8"/>
  <c r="R70" i="8"/>
  <c r="AB70" i="8"/>
  <c r="M71" i="8"/>
  <c r="W71" i="8"/>
  <c r="R71" i="8"/>
  <c r="AB71" i="8"/>
  <c r="M72" i="8"/>
  <c r="W72" i="8"/>
  <c r="R72" i="8"/>
  <c r="AB72" i="8"/>
  <c r="M73" i="8"/>
  <c r="W73" i="8"/>
  <c r="R73" i="8"/>
  <c r="AB73" i="8"/>
  <c r="M74" i="8"/>
  <c r="W74" i="8"/>
  <c r="R74" i="8"/>
  <c r="AB74" i="8"/>
  <c r="M75" i="8"/>
  <c r="W75" i="8"/>
  <c r="R75" i="8"/>
  <c r="AB75" i="8"/>
  <c r="M76" i="8"/>
  <c r="W76" i="8"/>
  <c r="R76" i="8"/>
  <c r="AB76" i="8"/>
  <c r="M77" i="8"/>
  <c r="W77" i="8"/>
  <c r="R77" i="8"/>
  <c r="AB77" i="8"/>
  <c r="M78" i="8"/>
  <c r="W78" i="8"/>
  <c r="R78" i="8"/>
  <c r="AB78" i="8"/>
  <c r="M79" i="8"/>
  <c r="W79" i="8"/>
  <c r="R79" i="8"/>
  <c r="AB79" i="8"/>
  <c r="M80" i="8"/>
  <c r="W80" i="8"/>
  <c r="R80" i="8"/>
  <c r="AB80" i="8"/>
  <c r="M81" i="8"/>
  <c r="W81" i="8"/>
  <c r="R81" i="8"/>
  <c r="AB81" i="8"/>
  <c r="M82" i="8"/>
  <c r="W82" i="8"/>
  <c r="R82" i="8"/>
  <c r="AB82" i="8"/>
  <c r="M83" i="8"/>
  <c r="W83" i="8"/>
  <c r="R83" i="8"/>
  <c r="AB83" i="8"/>
  <c r="M84" i="8"/>
  <c r="W84" i="8"/>
  <c r="R84" i="8"/>
  <c r="AB84" i="8"/>
  <c r="M85" i="8"/>
  <c r="W85" i="8"/>
  <c r="R85" i="8"/>
  <c r="AB85" i="8"/>
  <c r="M86" i="8"/>
  <c r="W86" i="8"/>
  <c r="R86" i="8"/>
  <c r="AB86" i="8"/>
  <c r="M87" i="8"/>
  <c r="W87" i="8"/>
  <c r="R87" i="8"/>
  <c r="AB87" i="8"/>
  <c r="M88" i="8"/>
  <c r="W88" i="8"/>
  <c r="R88" i="8"/>
  <c r="AB88" i="8"/>
  <c r="M89" i="8"/>
  <c r="W89" i="8"/>
  <c r="R89" i="8"/>
  <c r="AB89" i="8"/>
  <c r="AB94" i="8"/>
  <c r="L4" i="8"/>
  <c r="V4" i="8"/>
  <c r="Q4" i="8"/>
  <c r="AA4" i="8"/>
  <c r="L5" i="8"/>
  <c r="V5" i="8"/>
  <c r="Q5" i="8"/>
  <c r="AA5" i="8"/>
  <c r="L6" i="8"/>
  <c r="V6" i="8"/>
  <c r="Q6" i="8"/>
  <c r="AA6" i="8"/>
  <c r="L7" i="8"/>
  <c r="V7" i="8"/>
  <c r="Q7" i="8"/>
  <c r="AA7" i="8"/>
  <c r="L8" i="8"/>
  <c r="V8" i="8"/>
  <c r="Q8" i="8"/>
  <c r="AA8" i="8"/>
  <c r="L9" i="8"/>
  <c r="V9" i="8"/>
  <c r="Q9" i="8"/>
  <c r="AA9" i="8"/>
  <c r="L10" i="8"/>
  <c r="V10" i="8"/>
  <c r="Q10" i="8"/>
  <c r="AA10" i="8"/>
  <c r="L11" i="8"/>
  <c r="V11" i="8"/>
  <c r="Q11" i="8"/>
  <c r="AA11" i="8"/>
  <c r="L12" i="8"/>
  <c r="V12" i="8"/>
  <c r="Q12" i="8"/>
  <c r="AA12" i="8"/>
  <c r="L13" i="8"/>
  <c r="V13" i="8"/>
  <c r="Q13" i="8"/>
  <c r="AA13" i="8"/>
  <c r="L14" i="8"/>
  <c r="V14" i="8"/>
  <c r="Q14" i="8"/>
  <c r="AA14" i="8"/>
  <c r="L15" i="8"/>
  <c r="V15" i="8"/>
  <c r="Q15" i="8"/>
  <c r="AA15" i="8"/>
  <c r="L16" i="8"/>
  <c r="V16" i="8"/>
  <c r="Q16" i="8"/>
  <c r="AA16" i="8"/>
  <c r="L17" i="8"/>
  <c r="V17" i="8"/>
  <c r="Q17" i="8"/>
  <c r="AA17" i="8"/>
  <c r="L18" i="8"/>
  <c r="V18" i="8"/>
  <c r="Q18" i="8"/>
  <c r="AA18" i="8"/>
  <c r="L19" i="8"/>
  <c r="V19" i="8"/>
  <c r="Q19" i="8"/>
  <c r="AA19" i="8"/>
  <c r="L20" i="8"/>
  <c r="V20" i="8"/>
  <c r="Q20" i="8"/>
  <c r="AA20" i="8"/>
  <c r="L21" i="8"/>
  <c r="V21" i="8"/>
  <c r="Q21" i="8"/>
  <c r="AA21" i="8"/>
  <c r="L22" i="8"/>
  <c r="V22" i="8"/>
  <c r="Q22" i="8"/>
  <c r="AA22" i="8"/>
  <c r="L23" i="8"/>
  <c r="V23" i="8"/>
  <c r="Q23" i="8"/>
  <c r="AA23" i="8"/>
  <c r="L24" i="8"/>
  <c r="V24" i="8"/>
  <c r="Q24" i="8"/>
  <c r="AA24" i="8"/>
  <c r="L25" i="8"/>
  <c r="V25" i="8"/>
  <c r="Q25" i="8"/>
  <c r="AA25" i="8"/>
  <c r="L26" i="8"/>
  <c r="V26" i="8"/>
  <c r="Q26" i="8"/>
  <c r="AA26" i="8"/>
  <c r="L27" i="8"/>
  <c r="V27" i="8"/>
  <c r="Q27" i="8"/>
  <c r="AA27" i="8"/>
  <c r="L28" i="8"/>
  <c r="V28" i="8"/>
  <c r="Q28" i="8"/>
  <c r="AA28" i="8"/>
  <c r="L29" i="8"/>
  <c r="V29" i="8"/>
  <c r="Q29" i="8"/>
  <c r="AA29" i="8"/>
  <c r="L30" i="8"/>
  <c r="V30" i="8"/>
  <c r="Q30" i="8"/>
  <c r="AA30" i="8"/>
  <c r="L31" i="8"/>
  <c r="V31" i="8"/>
  <c r="Q31" i="8"/>
  <c r="AA31" i="8"/>
  <c r="L32" i="8"/>
  <c r="V32" i="8"/>
  <c r="Q32" i="8"/>
  <c r="AA32" i="8"/>
  <c r="L33" i="8"/>
  <c r="V33" i="8"/>
  <c r="Q33" i="8"/>
  <c r="AA33" i="8"/>
  <c r="L34" i="8"/>
  <c r="V34" i="8"/>
  <c r="Q34" i="8"/>
  <c r="AA34" i="8"/>
  <c r="L35" i="8"/>
  <c r="V35" i="8"/>
  <c r="Q35" i="8"/>
  <c r="AA35" i="8"/>
  <c r="L36" i="8"/>
  <c r="V36" i="8"/>
  <c r="Q36" i="8"/>
  <c r="AA36" i="8"/>
  <c r="L37" i="8"/>
  <c r="V37" i="8"/>
  <c r="Q37" i="8"/>
  <c r="AA37" i="8"/>
  <c r="L38" i="8"/>
  <c r="V38" i="8"/>
  <c r="Q38" i="8"/>
  <c r="AA38" i="8"/>
  <c r="L39" i="8"/>
  <c r="V39" i="8"/>
  <c r="Q39" i="8"/>
  <c r="AA39" i="8"/>
  <c r="L40" i="8"/>
  <c r="V40" i="8"/>
  <c r="Q40" i="8"/>
  <c r="AA40" i="8"/>
  <c r="L41" i="8"/>
  <c r="V41" i="8"/>
  <c r="Q41" i="8"/>
  <c r="AA41" i="8"/>
  <c r="L42" i="8"/>
  <c r="V42" i="8"/>
  <c r="Q42" i="8"/>
  <c r="AA42" i="8"/>
  <c r="L43" i="8"/>
  <c r="V43" i="8"/>
  <c r="Q43" i="8"/>
  <c r="AA43" i="8"/>
  <c r="L44" i="8"/>
  <c r="V44" i="8"/>
  <c r="Q44" i="8"/>
  <c r="AA44" i="8"/>
  <c r="L45" i="8"/>
  <c r="V45" i="8"/>
  <c r="Q45" i="8"/>
  <c r="AA45" i="8"/>
  <c r="L46" i="8"/>
  <c r="V46" i="8"/>
  <c r="Q46" i="8"/>
  <c r="AA46" i="8"/>
  <c r="L47" i="8"/>
  <c r="V47" i="8"/>
  <c r="Q47" i="8"/>
  <c r="AA47" i="8"/>
  <c r="L48" i="8"/>
  <c r="V48" i="8"/>
  <c r="Q48" i="8"/>
  <c r="AA48" i="8"/>
  <c r="L49" i="8"/>
  <c r="V49" i="8"/>
  <c r="Q49" i="8"/>
  <c r="AA49" i="8"/>
  <c r="L50" i="8"/>
  <c r="V50" i="8"/>
  <c r="Q50" i="8"/>
  <c r="AA50" i="8"/>
  <c r="L51" i="8"/>
  <c r="V51" i="8"/>
  <c r="Q51" i="8"/>
  <c r="AA51" i="8"/>
  <c r="L52" i="8"/>
  <c r="V52" i="8"/>
  <c r="Q52" i="8"/>
  <c r="AA52" i="8"/>
  <c r="L53" i="8"/>
  <c r="V53" i="8"/>
  <c r="Q53" i="8"/>
  <c r="AA53" i="8"/>
  <c r="L54" i="8"/>
  <c r="V54" i="8"/>
  <c r="Q54" i="8"/>
  <c r="AA54" i="8"/>
  <c r="L55" i="8"/>
  <c r="V55" i="8"/>
  <c r="Q55" i="8"/>
  <c r="AA55" i="8"/>
  <c r="L56" i="8"/>
  <c r="V56" i="8"/>
  <c r="Q56" i="8"/>
  <c r="AA56" i="8"/>
  <c r="L57" i="8"/>
  <c r="V57" i="8"/>
  <c r="Q57" i="8"/>
  <c r="AA57" i="8"/>
  <c r="L58" i="8"/>
  <c r="V58" i="8"/>
  <c r="Q58" i="8"/>
  <c r="AA58" i="8"/>
  <c r="L59" i="8"/>
  <c r="V59" i="8"/>
  <c r="Q59" i="8"/>
  <c r="AA59" i="8"/>
  <c r="L60" i="8"/>
  <c r="V60" i="8"/>
  <c r="Q60" i="8"/>
  <c r="AA60" i="8"/>
  <c r="L61" i="8"/>
  <c r="V61" i="8"/>
  <c r="Q61" i="8"/>
  <c r="AA61" i="8"/>
  <c r="L62" i="8"/>
  <c r="V62" i="8"/>
  <c r="Q62" i="8"/>
  <c r="AA62" i="8"/>
  <c r="L63" i="8"/>
  <c r="V63" i="8"/>
  <c r="Q63" i="8"/>
  <c r="AA63" i="8"/>
  <c r="L64" i="8"/>
  <c r="V64" i="8"/>
  <c r="Q64" i="8"/>
  <c r="AA64" i="8"/>
  <c r="L65" i="8"/>
  <c r="V65" i="8"/>
  <c r="Q65" i="8"/>
  <c r="AA65" i="8"/>
  <c r="L66" i="8"/>
  <c r="V66" i="8"/>
  <c r="Q66" i="8"/>
  <c r="AA66" i="8"/>
  <c r="L67" i="8"/>
  <c r="V67" i="8"/>
  <c r="Q67" i="8"/>
  <c r="AA67" i="8"/>
  <c r="L68" i="8"/>
  <c r="V68" i="8"/>
  <c r="Q68" i="8"/>
  <c r="AA68" i="8"/>
  <c r="L69" i="8"/>
  <c r="V69" i="8"/>
  <c r="Q69" i="8"/>
  <c r="AA69" i="8"/>
  <c r="L70" i="8"/>
  <c r="V70" i="8"/>
  <c r="Q70" i="8"/>
  <c r="AA70" i="8"/>
  <c r="L71" i="8"/>
  <c r="V71" i="8"/>
  <c r="Q71" i="8"/>
  <c r="AA71" i="8"/>
  <c r="L72" i="8"/>
  <c r="V72" i="8"/>
  <c r="Q72" i="8"/>
  <c r="AA72" i="8"/>
  <c r="L73" i="8"/>
  <c r="V73" i="8"/>
  <c r="Q73" i="8"/>
  <c r="AA73" i="8"/>
  <c r="L74" i="8"/>
  <c r="V74" i="8"/>
  <c r="Q74" i="8"/>
  <c r="AA74" i="8"/>
  <c r="L75" i="8"/>
  <c r="V75" i="8"/>
  <c r="Q75" i="8"/>
  <c r="AA75" i="8"/>
  <c r="L76" i="8"/>
  <c r="V76" i="8"/>
  <c r="Q76" i="8"/>
  <c r="AA76" i="8"/>
  <c r="L77" i="8"/>
  <c r="V77" i="8"/>
  <c r="Q77" i="8"/>
  <c r="AA77" i="8"/>
  <c r="L78" i="8"/>
  <c r="V78" i="8"/>
  <c r="Q78" i="8"/>
  <c r="AA78" i="8"/>
  <c r="L79" i="8"/>
  <c r="V79" i="8"/>
  <c r="Q79" i="8"/>
  <c r="AA79" i="8"/>
  <c r="L80" i="8"/>
  <c r="V80" i="8"/>
  <c r="Q80" i="8"/>
  <c r="AA80" i="8"/>
  <c r="L81" i="8"/>
  <c r="V81" i="8"/>
  <c r="Q81" i="8"/>
  <c r="AA81" i="8"/>
  <c r="L82" i="8"/>
  <c r="V82" i="8"/>
  <c r="Q82" i="8"/>
  <c r="AA82" i="8"/>
  <c r="L83" i="8"/>
  <c r="V83" i="8"/>
  <c r="Q83" i="8"/>
  <c r="AA83" i="8"/>
  <c r="L84" i="8"/>
  <c r="V84" i="8"/>
  <c r="Q84" i="8"/>
  <c r="AA84" i="8"/>
  <c r="L85" i="8"/>
  <c r="V85" i="8"/>
  <c r="Q85" i="8"/>
  <c r="AA85" i="8"/>
  <c r="L86" i="8"/>
  <c r="V86" i="8"/>
  <c r="Q86" i="8"/>
  <c r="AA86" i="8"/>
  <c r="L87" i="8"/>
  <c r="V87" i="8"/>
  <c r="Q87" i="8"/>
  <c r="AA87" i="8"/>
  <c r="L88" i="8"/>
  <c r="V88" i="8"/>
  <c r="Q88" i="8"/>
  <c r="AA88" i="8"/>
  <c r="L89" i="8"/>
  <c r="V89" i="8"/>
  <c r="Q89" i="8"/>
  <c r="AA89" i="8"/>
  <c r="AA94" i="8"/>
  <c r="K4" i="8"/>
  <c r="U4" i="8"/>
  <c r="P4" i="8"/>
  <c r="Z4" i="8"/>
  <c r="K5" i="8"/>
  <c r="U5" i="8"/>
  <c r="P5" i="8"/>
  <c r="Z5" i="8"/>
  <c r="K6" i="8"/>
  <c r="U6" i="8"/>
  <c r="P6" i="8"/>
  <c r="Z6" i="8"/>
  <c r="K7" i="8"/>
  <c r="U7" i="8"/>
  <c r="P7" i="8"/>
  <c r="Z7" i="8"/>
  <c r="K8" i="8"/>
  <c r="U8" i="8"/>
  <c r="P8" i="8"/>
  <c r="Z8" i="8"/>
  <c r="K9" i="8"/>
  <c r="U9" i="8"/>
  <c r="P9" i="8"/>
  <c r="Z9" i="8"/>
  <c r="K10" i="8"/>
  <c r="U10" i="8"/>
  <c r="P10" i="8"/>
  <c r="Z10" i="8"/>
  <c r="K11" i="8"/>
  <c r="U11" i="8"/>
  <c r="P11" i="8"/>
  <c r="Z11" i="8"/>
  <c r="K12" i="8"/>
  <c r="U12" i="8"/>
  <c r="P12" i="8"/>
  <c r="Z12" i="8"/>
  <c r="K13" i="8"/>
  <c r="U13" i="8"/>
  <c r="P13" i="8"/>
  <c r="Z13" i="8"/>
  <c r="K14" i="8"/>
  <c r="U14" i="8"/>
  <c r="P14" i="8"/>
  <c r="Z14" i="8"/>
  <c r="K15" i="8"/>
  <c r="U15" i="8"/>
  <c r="P15" i="8"/>
  <c r="Z15" i="8"/>
  <c r="K16" i="8"/>
  <c r="U16" i="8"/>
  <c r="P16" i="8"/>
  <c r="Z16" i="8"/>
  <c r="K17" i="8"/>
  <c r="U17" i="8"/>
  <c r="P17" i="8"/>
  <c r="Z17" i="8"/>
  <c r="K18" i="8"/>
  <c r="U18" i="8"/>
  <c r="P18" i="8"/>
  <c r="Z18" i="8"/>
  <c r="K19" i="8"/>
  <c r="U19" i="8"/>
  <c r="P19" i="8"/>
  <c r="Z19" i="8"/>
  <c r="K20" i="8"/>
  <c r="U20" i="8"/>
  <c r="P20" i="8"/>
  <c r="Z20" i="8"/>
  <c r="K21" i="8"/>
  <c r="U21" i="8"/>
  <c r="P21" i="8"/>
  <c r="Z21" i="8"/>
  <c r="K22" i="8"/>
  <c r="U22" i="8"/>
  <c r="P22" i="8"/>
  <c r="Z22" i="8"/>
  <c r="K23" i="8"/>
  <c r="U23" i="8"/>
  <c r="P23" i="8"/>
  <c r="Z23" i="8"/>
  <c r="K24" i="8"/>
  <c r="U24" i="8"/>
  <c r="P24" i="8"/>
  <c r="Z24" i="8"/>
  <c r="K25" i="8"/>
  <c r="U25" i="8"/>
  <c r="P25" i="8"/>
  <c r="Z25" i="8"/>
  <c r="K26" i="8"/>
  <c r="U26" i="8"/>
  <c r="P26" i="8"/>
  <c r="Z26" i="8"/>
  <c r="K27" i="8"/>
  <c r="U27" i="8"/>
  <c r="P27" i="8"/>
  <c r="Z27" i="8"/>
  <c r="K28" i="8"/>
  <c r="U28" i="8"/>
  <c r="P28" i="8"/>
  <c r="Z28" i="8"/>
  <c r="K29" i="8"/>
  <c r="U29" i="8"/>
  <c r="P29" i="8"/>
  <c r="Z29" i="8"/>
  <c r="K30" i="8"/>
  <c r="U30" i="8"/>
  <c r="P30" i="8"/>
  <c r="Z30" i="8"/>
  <c r="K31" i="8"/>
  <c r="U31" i="8"/>
  <c r="P31" i="8"/>
  <c r="Z31" i="8"/>
  <c r="K32" i="8"/>
  <c r="U32" i="8"/>
  <c r="P32" i="8"/>
  <c r="Z32" i="8"/>
  <c r="K33" i="8"/>
  <c r="U33" i="8"/>
  <c r="P33" i="8"/>
  <c r="Z33" i="8"/>
  <c r="K34" i="8"/>
  <c r="U34" i="8"/>
  <c r="P34" i="8"/>
  <c r="Z34" i="8"/>
  <c r="K35" i="8"/>
  <c r="U35" i="8"/>
  <c r="P35" i="8"/>
  <c r="Z35" i="8"/>
  <c r="K36" i="8"/>
  <c r="U36" i="8"/>
  <c r="P36" i="8"/>
  <c r="Z36" i="8"/>
  <c r="K37" i="8"/>
  <c r="U37" i="8"/>
  <c r="P37" i="8"/>
  <c r="Z37" i="8"/>
  <c r="K38" i="8"/>
  <c r="U38" i="8"/>
  <c r="P38" i="8"/>
  <c r="Z38" i="8"/>
  <c r="K39" i="8"/>
  <c r="U39" i="8"/>
  <c r="P39" i="8"/>
  <c r="Z39" i="8"/>
  <c r="K40" i="8"/>
  <c r="U40" i="8"/>
  <c r="P40" i="8"/>
  <c r="Z40" i="8"/>
  <c r="K41" i="8"/>
  <c r="U41" i="8"/>
  <c r="P41" i="8"/>
  <c r="Z41" i="8"/>
  <c r="K42" i="8"/>
  <c r="U42" i="8"/>
  <c r="P42" i="8"/>
  <c r="Z42" i="8"/>
  <c r="K43" i="8"/>
  <c r="U43" i="8"/>
  <c r="P43" i="8"/>
  <c r="Z43" i="8"/>
  <c r="K44" i="8"/>
  <c r="U44" i="8"/>
  <c r="P44" i="8"/>
  <c r="Z44" i="8"/>
  <c r="K45" i="8"/>
  <c r="U45" i="8"/>
  <c r="P45" i="8"/>
  <c r="Z45" i="8"/>
  <c r="K46" i="8"/>
  <c r="U46" i="8"/>
  <c r="P46" i="8"/>
  <c r="Z46" i="8"/>
  <c r="K47" i="8"/>
  <c r="U47" i="8"/>
  <c r="P47" i="8"/>
  <c r="Z47" i="8"/>
  <c r="K48" i="8"/>
  <c r="U48" i="8"/>
  <c r="P48" i="8"/>
  <c r="Z48" i="8"/>
  <c r="K49" i="8"/>
  <c r="U49" i="8"/>
  <c r="P49" i="8"/>
  <c r="Z49" i="8"/>
  <c r="K50" i="8"/>
  <c r="U50" i="8"/>
  <c r="P50" i="8"/>
  <c r="Z50" i="8"/>
  <c r="K51" i="8"/>
  <c r="U51" i="8"/>
  <c r="P51" i="8"/>
  <c r="Z51" i="8"/>
  <c r="K52" i="8"/>
  <c r="U52" i="8"/>
  <c r="P52" i="8"/>
  <c r="Z52" i="8"/>
  <c r="K53" i="8"/>
  <c r="U53" i="8"/>
  <c r="P53" i="8"/>
  <c r="Z53" i="8"/>
  <c r="K54" i="8"/>
  <c r="U54" i="8"/>
  <c r="P54" i="8"/>
  <c r="Z54" i="8"/>
  <c r="K55" i="8"/>
  <c r="U55" i="8"/>
  <c r="P55" i="8"/>
  <c r="Z55" i="8"/>
  <c r="K56" i="8"/>
  <c r="U56" i="8"/>
  <c r="P56" i="8"/>
  <c r="Z56" i="8"/>
  <c r="K57" i="8"/>
  <c r="U57" i="8"/>
  <c r="P57" i="8"/>
  <c r="Z57" i="8"/>
  <c r="K58" i="8"/>
  <c r="U58" i="8"/>
  <c r="P58" i="8"/>
  <c r="Z58" i="8"/>
  <c r="K59" i="8"/>
  <c r="U59" i="8"/>
  <c r="P59" i="8"/>
  <c r="Z59" i="8"/>
  <c r="K60" i="8"/>
  <c r="U60" i="8"/>
  <c r="P60" i="8"/>
  <c r="Z60" i="8"/>
  <c r="K61" i="8"/>
  <c r="U61" i="8"/>
  <c r="P61" i="8"/>
  <c r="Z61" i="8"/>
  <c r="K62" i="8"/>
  <c r="U62" i="8"/>
  <c r="P62" i="8"/>
  <c r="Z62" i="8"/>
  <c r="K63" i="8"/>
  <c r="U63" i="8"/>
  <c r="P63" i="8"/>
  <c r="Z63" i="8"/>
  <c r="K64" i="8"/>
  <c r="U64" i="8"/>
  <c r="P64" i="8"/>
  <c r="Z64" i="8"/>
  <c r="K65" i="8"/>
  <c r="U65" i="8"/>
  <c r="P65" i="8"/>
  <c r="Z65" i="8"/>
  <c r="K66" i="8"/>
  <c r="U66" i="8"/>
  <c r="P66" i="8"/>
  <c r="Z66" i="8"/>
  <c r="K67" i="8"/>
  <c r="U67" i="8"/>
  <c r="P67" i="8"/>
  <c r="Z67" i="8"/>
  <c r="K68" i="8"/>
  <c r="U68" i="8"/>
  <c r="P68" i="8"/>
  <c r="Z68" i="8"/>
  <c r="K69" i="8"/>
  <c r="U69" i="8"/>
  <c r="P69" i="8"/>
  <c r="Z69" i="8"/>
  <c r="K70" i="8"/>
  <c r="U70" i="8"/>
  <c r="P70" i="8"/>
  <c r="Z70" i="8"/>
  <c r="K71" i="8"/>
  <c r="U71" i="8"/>
  <c r="P71" i="8"/>
  <c r="Z71" i="8"/>
  <c r="K72" i="8"/>
  <c r="U72" i="8"/>
  <c r="P72" i="8"/>
  <c r="Z72" i="8"/>
  <c r="K73" i="8"/>
  <c r="U73" i="8"/>
  <c r="P73" i="8"/>
  <c r="Z73" i="8"/>
  <c r="K74" i="8"/>
  <c r="U74" i="8"/>
  <c r="P74" i="8"/>
  <c r="Z74" i="8"/>
  <c r="K75" i="8"/>
  <c r="U75" i="8"/>
  <c r="P75" i="8"/>
  <c r="Z75" i="8"/>
  <c r="K76" i="8"/>
  <c r="U76" i="8"/>
  <c r="P76" i="8"/>
  <c r="Z76" i="8"/>
  <c r="K77" i="8"/>
  <c r="U77" i="8"/>
  <c r="P77" i="8"/>
  <c r="Z77" i="8"/>
  <c r="K78" i="8"/>
  <c r="U78" i="8"/>
  <c r="P78" i="8"/>
  <c r="Z78" i="8"/>
  <c r="K79" i="8"/>
  <c r="U79" i="8"/>
  <c r="P79" i="8"/>
  <c r="Z79" i="8"/>
  <c r="K80" i="8"/>
  <c r="U80" i="8"/>
  <c r="P80" i="8"/>
  <c r="Z80" i="8"/>
  <c r="K81" i="8"/>
  <c r="U81" i="8"/>
  <c r="P81" i="8"/>
  <c r="Z81" i="8"/>
  <c r="K82" i="8"/>
  <c r="U82" i="8"/>
  <c r="P82" i="8"/>
  <c r="Z82" i="8"/>
  <c r="K83" i="8"/>
  <c r="U83" i="8"/>
  <c r="P83" i="8"/>
  <c r="Z83" i="8"/>
  <c r="K84" i="8"/>
  <c r="U84" i="8"/>
  <c r="P84" i="8"/>
  <c r="Z84" i="8"/>
  <c r="K85" i="8"/>
  <c r="U85" i="8"/>
  <c r="P85" i="8"/>
  <c r="Z85" i="8"/>
  <c r="K86" i="8"/>
  <c r="U86" i="8"/>
  <c r="P86" i="8"/>
  <c r="Z86" i="8"/>
  <c r="K87" i="8"/>
  <c r="U87" i="8"/>
  <c r="P87" i="8"/>
  <c r="Z87" i="8"/>
  <c r="K88" i="8"/>
  <c r="U88" i="8"/>
  <c r="P88" i="8"/>
  <c r="Z88" i="8"/>
  <c r="K89" i="8"/>
  <c r="U89" i="8"/>
  <c r="P89" i="8"/>
  <c r="Z89" i="8"/>
  <c r="Z94" i="8"/>
  <c r="Y94" i="8"/>
  <c r="X94" i="8"/>
  <c r="W94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AD93" i="8"/>
  <c r="AC93" i="8"/>
  <c r="AB93" i="8"/>
  <c r="AA93" i="8"/>
  <c r="Z93" i="8"/>
  <c r="Y93" i="8"/>
  <c r="X93" i="8"/>
  <c r="W93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AD92" i="8"/>
  <c r="AC92" i="8"/>
  <c r="AB92" i="8"/>
  <c r="AA92" i="8"/>
  <c r="Z92" i="8"/>
  <c r="Y92" i="8"/>
  <c r="X92" i="8"/>
  <c r="W92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AD91" i="8"/>
  <c r="AC91" i="8"/>
  <c r="AB91" i="8"/>
  <c r="AA91" i="8"/>
  <c r="Z91" i="8"/>
  <c r="Y91" i="8"/>
  <c r="X91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AA3" i="8"/>
  <c r="AB3" i="8"/>
  <c r="AC3" i="8"/>
  <c r="AD3" i="8"/>
  <c r="V3" i="8"/>
  <c r="W3" i="8"/>
  <c r="X3" i="8"/>
  <c r="Y3" i="8"/>
  <c r="Q3" i="8"/>
  <c r="R3" i="8"/>
  <c r="S3" i="8"/>
  <c r="T3" i="8"/>
  <c r="L3" i="8"/>
  <c r="M3" i="8"/>
  <c r="N3" i="8"/>
  <c r="O3" i="8"/>
  <c r="G3" i="8"/>
  <c r="H3" i="8"/>
  <c r="I3" i="8"/>
  <c r="J3" i="8"/>
</calcChain>
</file>

<file path=xl/sharedStrings.xml><?xml version="1.0" encoding="utf-8"?>
<sst xmlns="http://schemas.openxmlformats.org/spreadsheetml/2006/main" count="272" uniqueCount="259">
  <si>
    <t>Last Name</t>
  </si>
  <si>
    <t>Jones</t>
  </si>
  <si>
    <t>Employee Payroll</t>
  </si>
  <si>
    <t>Hours worked</t>
  </si>
  <si>
    <t>Overtime Hour</t>
  </si>
  <si>
    <t>Pay</t>
  </si>
  <si>
    <t>Overtime Bonus</t>
  </si>
  <si>
    <t>Total Pay</t>
  </si>
  <si>
    <t>Name</t>
  </si>
  <si>
    <t>First Name</t>
  </si>
  <si>
    <t>Hourly Wage</t>
  </si>
  <si>
    <t>LAWAL IFEOLUWA VICTOR</t>
  </si>
  <si>
    <t>Lawal</t>
  </si>
  <si>
    <t>Victor</t>
  </si>
  <si>
    <t>OLANREWAJU OLASHILE FRANCIS</t>
  </si>
  <si>
    <t>Olanrewaju</t>
  </si>
  <si>
    <t>Francis</t>
  </si>
  <si>
    <t>MARVELOUS CHRISTIAN AKPONA</t>
  </si>
  <si>
    <t>Marvelous</t>
  </si>
  <si>
    <t>Akpona</t>
  </si>
  <si>
    <t>OJELEYE QORSIM DAMILARE</t>
  </si>
  <si>
    <t>Ojeleye</t>
  </si>
  <si>
    <t>Damilare</t>
  </si>
  <si>
    <t>IJA MOSES EBA</t>
  </si>
  <si>
    <t>Ija</t>
  </si>
  <si>
    <t>Eba</t>
  </si>
  <si>
    <t>CHUKWUMA EMMANUELLA</t>
  </si>
  <si>
    <t>Chukwuma</t>
  </si>
  <si>
    <t>Emmanuella</t>
  </si>
  <si>
    <t>MIRACLE CHRISTOPHER AKPONA</t>
  </si>
  <si>
    <t>Miracle</t>
  </si>
  <si>
    <t>ATEGO AYOBAMI SAMUEL</t>
  </si>
  <si>
    <t>Atego</t>
  </si>
  <si>
    <t>Samuel</t>
  </si>
  <si>
    <t>ABODERIN KIKIOPE TEMITOPE</t>
  </si>
  <si>
    <t>Aboderin</t>
  </si>
  <si>
    <t>Temitope</t>
  </si>
  <si>
    <t>INNO-OPARA SHALOM CHIMNOYA</t>
  </si>
  <si>
    <t>Inno</t>
  </si>
  <si>
    <t>Chimnoya</t>
  </si>
  <si>
    <t>OJO KEHINDE IBRAHIM</t>
  </si>
  <si>
    <t>Ojo</t>
  </si>
  <si>
    <t>Ibrahim</t>
  </si>
  <si>
    <t>ADENIRAN ADEREMI EMMANUEL</t>
  </si>
  <si>
    <t>Adeniran</t>
  </si>
  <si>
    <t>Emmanuel</t>
  </si>
  <si>
    <t>NWABUEZE ROSEMARY CHIDINMA</t>
  </si>
  <si>
    <t>Nwabueze</t>
  </si>
  <si>
    <t>Chidinma</t>
  </si>
  <si>
    <t>ADEOYE ADEGOKE EMMANUEL</t>
  </si>
  <si>
    <t>Adeoye</t>
  </si>
  <si>
    <t>DAVID REGINA OLUWATOBILOBA</t>
  </si>
  <si>
    <t>David</t>
  </si>
  <si>
    <t>Oluwatobiloba</t>
  </si>
  <si>
    <t>AIYEOLA OYINDAMOLA KHALID</t>
  </si>
  <si>
    <t>Aiyeola</t>
  </si>
  <si>
    <t>Khalid</t>
  </si>
  <si>
    <t>ADIABACHIE CHIDERA EMMANUEL</t>
  </si>
  <si>
    <t>Adiabachie</t>
  </si>
  <si>
    <t>ADEBANJO ABDULBASIT OMOTOYOSI</t>
  </si>
  <si>
    <t>Adebanjo</t>
  </si>
  <si>
    <t>Omotoyosi</t>
  </si>
  <si>
    <t>IWEJUO HENRY EBUKA</t>
  </si>
  <si>
    <t>Iwejuo</t>
  </si>
  <si>
    <t>Ebuka</t>
  </si>
  <si>
    <t>MUSTAPHA ADENRELE MOHAMMED</t>
  </si>
  <si>
    <t>Mustapha</t>
  </si>
  <si>
    <t>Mohammed</t>
  </si>
  <si>
    <t>BOLOWOTAN DAMOLA PELUMI</t>
  </si>
  <si>
    <t>Bolowotan</t>
  </si>
  <si>
    <t>Pelumi</t>
  </si>
  <si>
    <t>OGUNJIMI STEPHEN</t>
  </si>
  <si>
    <t>Ogunjimi</t>
  </si>
  <si>
    <t>Stephen</t>
  </si>
  <si>
    <t>HASSAN DESTINY</t>
  </si>
  <si>
    <t>Hassan</t>
  </si>
  <si>
    <t>Destiny</t>
  </si>
  <si>
    <t>OSENI BOLUWATIFE ELIZABETH</t>
  </si>
  <si>
    <t>Oseni</t>
  </si>
  <si>
    <t>Elizabeth</t>
  </si>
  <si>
    <t>OSHOBA OLADAPO HENRY</t>
  </si>
  <si>
    <t>Oshoba</t>
  </si>
  <si>
    <t>Henry</t>
  </si>
  <si>
    <t>OYEDOKUN ABDUL-MUHID</t>
  </si>
  <si>
    <t>Oyedokun</t>
  </si>
  <si>
    <t>Muhid</t>
  </si>
  <si>
    <t>NNAJI FAVOUR ADAEZE</t>
  </si>
  <si>
    <t>Nnaji</t>
  </si>
  <si>
    <t>Adaeze</t>
  </si>
  <si>
    <t>ONI-ORISAN BABAWALE AFOLABI</t>
  </si>
  <si>
    <t>Oni</t>
  </si>
  <si>
    <t>Afolabi</t>
  </si>
  <si>
    <t>LABISI BASIT OLALEKAN</t>
  </si>
  <si>
    <t>Labisi</t>
  </si>
  <si>
    <t>Olalekan</t>
  </si>
  <si>
    <t>EKUN SIKIRU AYOMIDE</t>
  </si>
  <si>
    <t>Ekun</t>
  </si>
  <si>
    <t>Ayomide</t>
  </si>
  <si>
    <t>ADEYEYE DANIEL IBUKUN</t>
  </si>
  <si>
    <t>Adeyeye</t>
  </si>
  <si>
    <t>Ibukun</t>
  </si>
  <si>
    <t>ATINDEKUN DANIEL YEMAYINSE</t>
  </si>
  <si>
    <t>Atindekun</t>
  </si>
  <si>
    <t>Yemayinse</t>
  </si>
  <si>
    <t>OLAWOLU ISAAC AYOBAMI</t>
  </si>
  <si>
    <t>Olawolu</t>
  </si>
  <si>
    <t>Ayobami</t>
  </si>
  <si>
    <t>ILYAS MUBARAK AYODEJI</t>
  </si>
  <si>
    <t>Ilyas</t>
  </si>
  <si>
    <t>Ayodeji</t>
  </si>
  <si>
    <t>AMOS SENEYON JEREMIAH</t>
  </si>
  <si>
    <t>Amos</t>
  </si>
  <si>
    <t>Jeremiah</t>
  </si>
  <si>
    <t>OLIKUTU OLUWATOBI OLUWAFUNMI</t>
  </si>
  <si>
    <t>Olikutu</t>
  </si>
  <si>
    <t>Oluwafunmi</t>
  </si>
  <si>
    <t>SEUNARA OLOKODANA JENNYFER</t>
  </si>
  <si>
    <t>Seunara</t>
  </si>
  <si>
    <t>Jennyfer</t>
  </si>
  <si>
    <t>GIWA SULTAN OLA AYINDE</t>
  </si>
  <si>
    <t>Giwa</t>
  </si>
  <si>
    <t>Ayinde</t>
  </si>
  <si>
    <t>ASOGBA JULIANAH YEMISI</t>
  </si>
  <si>
    <t>Asogba</t>
  </si>
  <si>
    <t>Yemisi</t>
  </si>
  <si>
    <t>ADELEKE SAMUEL ADEBOWALE</t>
  </si>
  <si>
    <t>Adeleke</t>
  </si>
  <si>
    <t>Adebowale</t>
  </si>
  <si>
    <t>FRANAS ENIOLA OFURE</t>
  </si>
  <si>
    <t>Franas</t>
  </si>
  <si>
    <t>Ofure</t>
  </si>
  <si>
    <t>UKA BRIGHT OBINNA</t>
  </si>
  <si>
    <t>Uka</t>
  </si>
  <si>
    <t>Obinna</t>
  </si>
  <si>
    <t>OKIKA FORTUNE IVOMA</t>
  </si>
  <si>
    <t>Okika</t>
  </si>
  <si>
    <t>Ivoma</t>
  </si>
  <si>
    <t>OLORO RIDWAN OLANREWAJU</t>
  </si>
  <si>
    <t>Oloro</t>
  </si>
  <si>
    <t>WAHAB FOJISARA OMOBOLANLE</t>
  </si>
  <si>
    <t>Wahab</t>
  </si>
  <si>
    <t>Omobolanle</t>
  </si>
  <si>
    <t>OLONISHEBE AISHAT OLAMIDE</t>
  </si>
  <si>
    <t>Olonishebe</t>
  </si>
  <si>
    <t>Olamide</t>
  </si>
  <si>
    <t>OJIKE DANIEL CHIJOKE</t>
  </si>
  <si>
    <t>Ojike</t>
  </si>
  <si>
    <t>Chijoke</t>
  </si>
  <si>
    <t>IWULE MICHAEL OSIRAKACHUKWU</t>
  </si>
  <si>
    <t>Iwule</t>
  </si>
  <si>
    <t>Osirakachukwu</t>
  </si>
  <si>
    <t>UWAYI EMMANUEL OKOLO</t>
  </si>
  <si>
    <t>Uwayi</t>
  </si>
  <si>
    <t>Okolo</t>
  </si>
  <si>
    <t>ADEPITAN ADESEWA EBERE</t>
  </si>
  <si>
    <t>Adepitan</t>
  </si>
  <si>
    <t>Ebere</t>
  </si>
  <si>
    <t>ODUTAN OLUWAFISAYOMI OLUWASEUN</t>
  </si>
  <si>
    <t>Odutan</t>
  </si>
  <si>
    <t>Oluwaseun</t>
  </si>
  <si>
    <t>AJEBI AJIBOLA TIMOTHY</t>
  </si>
  <si>
    <t>Ajebi</t>
  </si>
  <si>
    <t>Timothy</t>
  </si>
  <si>
    <t>ASHIGBU IHECHI DELIGHT</t>
  </si>
  <si>
    <t>Ashigbu</t>
  </si>
  <si>
    <t>Delight</t>
  </si>
  <si>
    <t>ADEWOLE OGUNDAMOLA ALIYAH</t>
  </si>
  <si>
    <t>Adewole</t>
  </si>
  <si>
    <t>Aliyah</t>
  </si>
  <si>
    <t>GABRIEL OLUWASEUN SEDAM</t>
  </si>
  <si>
    <t>Gabriel</t>
  </si>
  <si>
    <t>Sedam</t>
  </si>
  <si>
    <t>IGBINOBA DANIEL TALUMANI</t>
  </si>
  <si>
    <t>Igbinoba</t>
  </si>
  <si>
    <t>Talumani</t>
  </si>
  <si>
    <t>GODWIN GSSIONG AKAN</t>
  </si>
  <si>
    <t>Godwin</t>
  </si>
  <si>
    <t>Akan</t>
  </si>
  <si>
    <t>AYODELE SHASHAENIYAN EBENEZER</t>
  </si>
  <si>
    <t>Ayodele</t>
  </si>
  <si>
    <t>Ebenezer</t>
  </si>
  <si>
    <t>AKPAN SAMUEL AUGUSTINE</t>
  </si>
  <si>
    <t>Akpan</t>
  </si>
  <si>
    <t>Augustine</t>
  </si>
  <si>
    <t>KAREEM HANNAH</t>
  </si>
  <si>
    <t>Kareem</t>
  </si>
  <si>
    <t>Hannah</t>
  </si>
  <si>
    <t>OGUNTAYO ALIYAT</t>
  </si>
  <si>
    <t>Oguntayo</t>
  </si>
  <si>
    <t>Aliyat</t>
  </si>
  <si>
    <t>BABATUNDE OLUWA ABIDE</t>
  </si>
  <si>
    <t>Babatunde</t>
  </si>
  <si>
    <t>Abide</t>
  </si>
  <si>
    <t>OLORUNFEMI ADERINSOLA</t>
  </si>
  <si>
    <t>Olorunfemi</t>
  </si>
  <si>
    <t>Aderinsola</t>
  </si>
  <si>
    <t>ANISOWO SEUN BERNICE</t>
  </si>
  <si>
    <t>Anisowo</t>
  </si>
  <si>
    <t>Bernice</t>
  </si>
  <si>
    <t>TEKPO OLUWABUSAYO YENUKUME</t>
  </si>
  <si>
    <t>Tekpo</t>
  </si>
  <si>
    <t>Yenukume</t>
  </si>
  <si>
    <t>MBAAGU JEREMIAH OBINNA</t>
  </si>
  <si>
    <t>Mbaagu</t>
  </si>
  <si>
    <t>ADEBAYO ROKEEB OLANREWAJU</t>
  </si>
  <si>
    <t>Adebayo</t>
  </si>
  <si>
    <t>JONES DANIEL OLAJIDE</t>
  </si>
  <si>
    <t>Olajide</t>
  </si>
  <si>
    <t>DEBA MUKHTAR ENIOLA</t>
  </si>
  <si>
    <t>Deba</t>
  </si>
  <si>
    <t>Eniola</t>
  </si>
  <si>
    <t>LADIPO GOODNESS ADEMOLA</t>
  </si>
  <si>
    <t>Ladipo</t>
  </si>
  <si>
    <t>Ademola</t>
  </si>
  <si>
    <t>AKINSANYA SUNDAY MAYOWA</t>
  </si>
  <si>
    <t>Akinsanya</t>
  </si>
  <si>
    <t>Mayowa</t>
  </si>
  <si>
    <t>OLAMIDE ODETUNDE</t>
  </si>
  <si>
    <t>Odetunde</t>
  </si>
  <si>
    <t>IHULE MICHAEL OSIRAKACHUKWU</t>
  </si>
  <si>
    <t>Ihule</t>
  </si>
  <si>
    <t>BASHIRU ELIZABETH OMOWUNMI</t>
  </si>
  <si>
    <t>Bashiru</t>
  </si>
  <si>
    <t>Omowunmi</t>
  </si>
  <si>
    <t>AKINTUNDE AYOMIDE OLUWAFUNMI</t>
  </si>
  <si>
    <t>Akintunde</t>
  </si>
  <si>
    <t>OLUWOLE OLAJUWON SAMUEL</t>
  </si>
  <si>
    <t>Oluwole</t>
  </si>
  <si>
    <t>OLADELE KAYODE DAVID</t>
  </si>
  <si>
    <t>Oladele</t>
  </si>
  <si>
    <t>OWOLABI FAROUG ADEBORA</t>
  </si>
  <si>
    <t>Owolabi</t>
  </si>
  <si>
    <t>Adebora</t>
  </si>
  <si>
    <t>UKUDOLO OGHENETEGA</t>
  </si>
  <si>
    <t>Ukudolo</t>
  </si>
  <si>
    <t>Oghenetega</t>
  </si>
  <si>
    <t>KAREEM ABIYOMI ADU</t>
  </si>
  <si>
    <t>Adu</t>
  </si>
  <si>
    <t>ADETAYO ABDULHAQ OLUWATOSIN</t>
  </si>
  <si>
    <t>Adetayo</t>
  </si>
  <si>
    <t>Oluwatosin</t>
  </si>
  <si>
    <t>IGE OLUWAFEMI DANIEL</t>
  </si>
  <si>
    <t>Ige</t>
  </si>
  <si>
    <t>Daniel</t>
  </si>
  <si>
    <t>OLADELE DANIEL OPEYEMI</t>
  </si>
  <si>
    <t>Opeyemi</t>
  </si>
  <si>
    <t>AYOMIFOSI ELISHA</t>
  </si>
  <si>
    <t>Ayomifosi</t>
  </si>
  <si>
    <t>Elisha</t>
  </si>
  <si>
    <t>SHOLA MUHAMMAD</t>
  </si>
  <si>
    <t>Shola</t>
  </si>
  <si>
    <t>Muhammad</t>
  </si>
  <si>
    <t>LAWANI ENIOLA GIFT</t>
  </si>
  <si>
    <t>Lawani</t>
  </si>
  <si>
    <t>Gift</t>
  </si>
  <si>
    <t>MAX</t>
  </si>
  <si>
    <t>Min</t>
  </si>
  <si>
    <t>Average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</si>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</sst>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£&quot;* #,##0.00_-;\-&quot;£&quot;* #,##0.00_-;_-&quot;£&quot;* &quot;-&quot;??_-;_-@_-"/>
    <numFmt numFmtId="170" formatCode="[$NGN]\ #,##0;\-[$NGN]\ #,##0"/>
    <numFmt numFmtId="171" formatCode="[$-809]dd\ mmmm\ yyyy;@"/>
    <numFmt numFmtId="172" formatCode="[$-F800]dddd\,\ mmmm\ dd\,\ yyyy"/>
    <numFmt numFmtId="173" formatCode="_-&quot;£&quot;* #,##0_-;\-&quot;£&quot;* #,##0_-;_-&quot;£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170" fontId="0" fillId="0" borderId="0" xfId="1" applyNumberFormat="1" applyFont="1"/>
    <xf numFmtId="44" fontId="0" fillId="0" borderId="0" xfId="0" applyNumberFormat="1"/>
    <xf numFmtId="0" fontId="3" fillId="3" borderId="0" xfId="0" applyFont="1" applyFill="1"/>
    <xf numFmtId="0" fontId="3" fillId="4" borderId="0" xfId="0" applyFont="1" applyFill="1"/>
    <xf numFmtId="0" fontId="2" fillId="0" borderId="0" xfId="0" applyFont="1"/>
    <xf numFmtId="170" fontId="3" fillId="4" borderId="0" xfId="1" applyNumberFormat="1" applyFont="1" applyFill="1"/>
    <xf numFmtId="171" fontId="3" fillId="5" borderId="0" xfId="0" applyNumberFormat="1" applyFont="1" applyFill="1"/>
    <xf numFmtId="172" fontId="2" fillId="6" borderId="0" xfId="0" applyNumberFormat="1" applyFont="1" applyFill="1"/>
    <xf numFmtId="172" fontId="2" fillId="7" borderId="0" xfId="0" applyNumberFormat="1" applyFont="1" applyFill="1"/>
    <xf numFmtId="172" fontId="2" fillId="2" borderId="0" xfId="0" applyNumberFormat="1" applyFont="1" applyFill="1"/>
    <xf numFmtId="172" fontId="3" fillId="8" borderId="0" xfId="0" applyNumberFormat="1" applyFont="1" applyFill="1"/>
    <xf numFmtId="49" fontId="5" fillId="0" borderId="0" xfId="0" applyNumberFormat="1" applyFont="1"/>
    <xf numFmtId="0" fontId="0" fillId="9" borderId="0" xfId="0" applyFill="1"/>
    <xf numFmtId="44" fontId="0" fillId="10" borderId="0" xfId="0" applyNumberFormat="1" applyFill="1"/>
    <xf numFmtId="173" fontId="6" fillId="11" borderId="0" xfId="0" applyNumberFormat="1" applyFont="1" applyFill="1"/>
    <xf numFmtId="173" fontId="4" fillId="8" borderId="0" xfId="0" applyNumberFormat="1" applyFont="1" applyFill="1"/>
    <xf numFmtId="170" fontId="6" fillId="0" borderId="0" xfId="1" applyNumberFormat="1" applyFont="1"/>
    <xf numFmtId="0" fontId="6" fillId="0" borderId="0" xfId="0" applyFont="1"/>
    <xf numFmtId="1" fontId="6" fillId="0" borderId="0" xfId="0" applyNumberFormat="1" applyFont="1"/>
    <xf numFmtId="1" fontId="0" fillId="0" borderId="0" xfId="0" applyNumberFormat="1"/>
    <xf numFmtId="170" fontId="0" fillId="0" borderId="0" xfId="0" applyNumberFormat="1"/>
    <xf numFmtId="49" fontId="5" fillId="12" borderId="0" xfId="0" applyNumberFormat="1" applyFont="1" applyFill="1" applyAlignment="1">
      <alignment horizontal="left"/>
    </xf>
    <xf numFmtId="49" fontId="5" fillId="13" borderId="0" xfId="0" applyNumberFormat="1" applyFont="1" applyFill="1" applyAlignment="1">
      <alignment horizontal="left"/>
    </xf>
    <xf numFmtId="49" fontId="5" fillId="14" borderId="0" xfId="0" applyNumberFormat="1" applyFont="1" applyFill="1" applyAlignment="1">
      <alignment horizontal="left"/>
    </xf>
    <xf numFmtId="49" fontId="5" fillId="15" borderId="0" xfId="0" applyNumberFormat="1" applyFont="1" applyFill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ar%20Inventor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uman%20Society%20Adop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cation plan"/>
      <sheetName val="Printer Decision "/>
      <sheetName val="TIM AND SUSAN CAR"/>
      <sheetName val="Summary"/>
      <sheetName val="Formulas"/>
      <sheetName val="Name Manager"/>
      <sheetName val="Common Functions"/>
      <sheetName val="Lookup function"/>
      <sheetName val="Charts"/>
      <sheetName val="Data Management "/>
      <sheetName val="Payment"/>
      <sheetName val="Sheet2"/>
      <sheetName val="Gradescore"/>
      <sheetName val="Sheet1"/>
      <sheetName val="Sales"/>
      <sheetName val="Sales(pivot table)"/>
      <sheetName val="Car Inventory"/>
      <sheetName val="Car inventory(pivot table)"/>
      <sheetName val="Loan Interest"/>
      <sheetName val="Shopping List"/>
      <sheetName val="Human Society Pets Adoption"/>
      <sheetName val="TIM AND SUSAN PRINTER "/>
    </sheetNames>
    <sheetDataSet>
      <sheetData sheetId="0"/>
      <sheetData sheetId="1"/>
      <sheetData sheetId="2"/>
      <sheetData sheetId="3"/>
      <sheetData sheetId="4"/>
      <sheetData sheetId="5">
        <row r="7">
          <cell r="H7">
            <v>0.2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"/>
      <sheetName val="Sales(pivot table)"/>
    </sheetNames>
    <sheetDataSet>
      <sheetData sheetId="0" refreshError="1"/>
      <sheetData sheetId="1">
        <row r="3">
          <cell r="B3" t="str">
            <v>Sum of Sale Price</v>
          </cell>
        </row>
        <row r="4">
          <cell r="A4" t="str">
            <v>Barns</v>
          </cell>
          <cell r="B4">
            <v>6003.5</v>
          </cell>
        </row>
        <row r="5">
          <cell r="A5" t="str">
            <v>Hernandez</v>
          </cell>
          <cell r="B5">
            <v>2410.7000000000003</v>
          </cell>
        </row>
        <row r="6">
          <cell r="A6" t="str">
            <v>Johnson</v>
          </cell>
          <cell r="B6">
            <v>3035.3</v>
          </cell>
        </row>
        <row r="7">
          <cell r="A7" t="str">
            <v>Smith</v>
          </cell>
          <cell r="B7">
            <v>5661.0999999999985</v>
          </cell>
        </row>
        <row r="8">
          <cell r="A8" t="str">
            <v>Grand Total</v>
          </cell>
          <cell r="B8">
            <v>17110.599999999999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 Inventory"/>
      <sheetName val="Car inventory(pivot table)"/>
    </sheetNames>
    <sheetDataSet>
      <sheetData sheetId="0" refreshError="1"/>
      <sheetData sheetId="1">
        <row r="3">
          <cell r="B3" t="str">
            <v>Sum of Miles</v>
          </cell>
        </row>
        <row r="4">
          <cell r="A4" t="str">
            <v>Bard</v>
          </cell>
          <cell r="B4">
            <v>144647.69999999998</v>
          </cell>
        </row>
        <row r="5">
          <cell r="A5" t="str">
            <v>Chan</v>
          </cell>
          <cell r="B5">
            <v>150656.40000000002</v>
          </cell>
        </row>
        <row r="6">
          <cell r="A6" t="str">
            <v>Ewenty</v>
          </cell>
          <cell r="B6">
            <v>154427.9</v>
          </cell>
        </row>
        <row r="7">
          <cell r="A7" t="str">
            <v>Gaul</v>
          </cell>
          <cell r="B7">
            <v>179986</v>
          </cell>
        </row>
        <row r="8">
          <cell r="A8" t="str">
            <v>Howard</v>
          </cell>
          <cell r="B8">
            <v>143640.70000000001</v>
          </cell>
        </row>
        <row r="9">
          <cell r="A9" t="str">
            <v>Hulinski</v>
          </cell>
          <cell r="B9">
            <v>135078.20000000001</v>
          </cell>
        </row>
        <row r="10">
          <cell r="A10" t="str">
            <v>Jones</v>
          </cell>
          <cell r="B10">
            <v>184693.8</v>
          </cell>
        </row>
        <row r="11">
          <cell r="A11" t="str">
            <v>Lyon</v>
          </cell>
          <cell r="B11">
            <v>127731.3</v>
          </cell>
        </row>
        <row r="12">
          <cell r="A12" t="str">
            <v>McCall</v>
          </cell>
          <cell r="B12">
            <v>70964.899999999994</v>
          </cell>
        </row>
        <row r="13">
          <cell r="A13" t="str">
            <v>Praulty</v>
          </cell>
          <cell r="B13">
            <v>65315</v>
          </cell>
        </row>
        <row r="14">
          <cell r="A14" t="str">
            <v>Rodriguez</v>
          </cell>
          <cell r="B14">
            <v>138561.5</v>
          </cell>
        </row>
        <row r="15">
          <cell r="A15" t="str">
            <v>Santos</v>
          </cell>
          <cell r="B15">
            <v>141229.4</v>
          </cell>
        </row>
        <row r="16">
          <cell r="A16" t="str">
            <v>Smith</v>
          </cell>
          <cell r="B16">
            <v>305432.40000000002</v>
          </cell>
        </row>
        <row r="17">
          <cell r="A17" t="str">
            <v>Swartz</v>
          </cell>
          <cell r="B17">
            <v>177713.9</v>
          </cell>
        </row>
        <row r="18">
          <cell r="A18" t="str">
            <v>Torrens</v>
          </cell>
          <cell r="B18">
            <v>65964.899999999994</v>
          </cell>
        </row>
        <row r="19">
          <cell r="A19" t="str">
            <v>Vizzini</v>
          </cell>
          <cell r="B19">
            <v>130601.59999999999</v>
          </cell>
        </row>
        <row r="20">
          <cell r="A20" t="str">
            <v>Yousef</v>
          </cell>
          <cell r="B20">
            <v>19341.7</v>
          </cell>
        </row>
        <row r="21">
          <cell r="A21" t="str">
            <v>Grand Total</v>
          </cell>
          <cell r="B21">
            <v>2335987.2999999998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uman Society Pets Adoption"/>
    </sheetNames>
    <sheetDataSet>
      <sheetData sheetId="0">
        <row r="3">
          <cell r="B3" t="str">
            <v>Cat</v>
          </cell>
          <cell r="C3" t="str">
            <v>Dog</v>
          </cell>
        </row>
        <row r="19">
          <cell r="B19">
            <v>560</v>
          </cell>
          <cell r="C19">
            <v>645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C000"/>
  </sheetPr>
  <dimension ref="A1:AD94"/>
  <sheetViews>
    <sheetView tabSelected="1" zoomScale="75" zoomScaleNormal="75" workbookViewId="0">
      <selection activeCell="A59" sqref="A59"/>
    </sheetView>
  </sheetViews>
  <sheetFormatPr defaultRowHeight="15" x14ac:dyDescent="0.25"/>
  <cols>
    <col min="1" max="1" width="27.28515625" customWidth="1"/>
    <col min="2" max="2" width="11.28515625" customWidth="1"/>
    <col min="3" max="3" width="14.5703125" customWidth="1"/>
    <col min="4" max="4" width="18.140625" customWidth="1"/>
    <col min="5" max="5" width="12.42578125" style="1" bestFit="1" customWidth="1"/>
    <col min="6" max="6" width="13.5703125" bestFit="1" customWidth="1"/>
    <col min="7" max="10" width="12.140625" bestFit="1" customWidth="1"/>
    <col min="11" max="11" width="14.42578125" bestFit="1" customWidth="1"/>
    <col min="12" max="15" width="12.140625" bestFit="1" customWidth="1"/>
    <col min="16" max="20" width="12.140625" style="2" bestFit="1" customWidth="1"/>
    <col min="21" max="21" width="15.7109375" bestFit="1" customWidth="1"/>
    <col min="22" max="30" width="12.140625" bestFit="1" customWidth="1"/>
  </cols>
  <sheetData>
    <row r="1" spans="1:30" x14ac:dyDescent="0.25">
      <c r="A1" t="s">
        <v>2</v>
      </c>
    </row>
    <row r="2" spans="1:30" x14ac:dyDescent="0.25">
      <c r="F2" s="3" t="s">
        <v>3</v>
      </c>
      <c r="K2" s="3" t="s">
        <v>4</v>
      </c>
      <c r="P2" s="3" t="s">
        <v>5</v>
      </c>
      <c r="Q2"/>
      <c r="R2"/>
      <c r="S2"/>
      <c r="T2"/>
      <c r="U2" s="3" t="s">
        <v>6</v>
      </c>
      <c r="Z2" s="3" t="s">
        <v>7</v>
      </c>
    </row>
    <row r="3" spans="1:30" s="5" customFormat="1" x14ac:dyDescent="0.25">
      <c r="A3" s="4" t="s">
        <v>8</v>
      </c>
      <c r="B3" s="4" t="s">
        <v>9</v>
      </c>
      <c r="C3" s="4" t="s">
        <v>0</v>
      </c>
      <c r="E3" s="6" t="s">
        <v>10</v>
      </c>
      <c r="F3" s="7">
        <v>46204</v>
      </c>
      <c r="G3" s="7">
        <f>F3+7</f>
        <v>46211</v>
      </c>
      <c r="H3" s="7">
        <f t="shared" ref="H3:J3" si="0">G3+7</f>
        <v>46218</v>
      </c>
      <c r="I3" s="7">
        <f t="shared" si="0"/>
        <v>46225</v>
      </c>
      <c r="J3" s="7">
        <f t="shared" si="0"/>
        <v>46232</v>
      </c>
      <c r="K3" s="8">
        <v>46204</v>
      </c>
      <c r="L3" s="8">
        <f>K3+7</f>
        <v>46211</v>
      </c>
      <c r="M3" s="8">
        <f t="shared" ref="M3:O3" si="1">L3+7</f>
        <v>46218</v>
      </c>
      <c r="N3" s="8">
        <f t="shared" si="1"/>
        <v>46225</v>
      </c>
      <c r="O3" s="8">
        <f t="shared" si="1"/>
        <v>46232</v>
      </c>
      <c r="P3" s="9">
        <v>46204</v>
      </c>
      <c r="Q3" s="9">
        <f>P3+7</f>
        <v>46211</v>
      </c>
      <c r="R3" s="9">
        <f t="shared" ref="R3:T3" si="2">Q3+7</f>
        <v>46218</v>
      </c>
      <c r="S3" s="9">
        <f t="shared" si="2"/>
        <v>46225</v>
      </c>
      <c r="T3" s="9">
        <f t="shared" si="2"/>
        <v>46232</v>
      </c>
      <c r="U3" s="10">
        <v>46204</v>
      </c>
      <c r="V3" s="10">
        <f>U3+7</f>
        <v>46211</v>
      </c>
      <c r="W3" s="10">
        <f t="shared" ref="W3:Y3" si="3">V3+7</f>
        <v>46218</v>
      </c>
      <c r="X3" s="10">
        <f t="shared" si="3"/>
        <v>46225</v>
      </c>
      <c r="Y3" s="10">
        <f t="shared" si="3"/>
        <v>46232</v>
      </c>
      <c r="Z3" s="11">
        <v>46204</v>
      </c>
      <c r="AA3" s="11">
        <f>Z3+7</f>
        <v>46211</v>
      </c>
      <c r="AB3" s="11">
        <f t="shared" ref="AB3:AD3" si="4">AA3+7</f>
        <v>46218</v>
      </c>
      <c r="AC3" s="11">
        <f t="shared" si="4"/>
        <v>46225</v>
      </c>
      <c r="AD3" s="11">
        <f t="shared" si="4"/>
        <v>46232</v>
      </c>
    </row>
    <row r="4" spans="1:30" x14ac:dyDescent="0.25">
      <c r="A4" s="12" t="s">
        <v>11</v>
      </c>
      <c r="B4" t="s">
        <v>12</v>
      </c>
      <c r="C4" t="s">
        <v>13</v>
      </c>
      <c r="E4" s="1">
        <v>15.9</v>
      </c>
      <c r="F4">
        <v>10</v>
      </c>
      <c r="G4">
        <v>40</v>
      </c>
      <c r="H4">
        <v>20</v>
      </c>
      <c r="I4">
        <v>32</v>
      </c>
      <c r="J4">
        <v>37</v>
      </c>
      <c r="K4" s="13">
        <f>IF(F4&gt;40,F4-40,0)</f>
        <v>0</v>
      </c>
      <c r="L4" s="13">
        <f>IF(G4&gt;40,G4-40,0)</f>
        <v>0</v>
      </c>
      <c r="M4" s="13">
        <f t="shared" ref="M4:N19" si="5">IF(H4&gt;40,H4-40,0)</f>
        <v>0</v>
      </c>
      <c r="N4" s="13">
        <f t="shared" si="5"/>
        <v>0</v>
      </c>
      <c r="O4" s="13">
        <v>2</v>
      </c>
      <c r="P4" s="14">
        <f>$E4*F4</f>
        <v>159</v>
      </c>
      <c r="Q4" s="14">
        <f>$E4*G4</f>
        <v>636</v>
      </c>
      <c r="R4" s="14">
        <f t="shared" ref="R4:T19" si="6">$E4*H4</f>
        <v>318</v>
      </c>
      <c r="S4" s="14">
        <f t="shared" si="6"/>
        <v>508.8</v>
      </c>
      <c r="T4" s="14">
        <f t="shared" si="6"/>
        <v>588.30000000000007</v>
      </c>
      <c r="U4" s="15">
        <f>0.5*K4*$E4</f>
        <v>0</v>
      </c>
      <c r="V4" s="15">
        <f>0.5*L4*$E4</f>
        <v>0</v>
      </c>
      <c r="W4" s="15">
        <f>0.5*M4*$E4</f>
        <v>0</v>
      </c>
      <c r="X4" s="15">
        <f>0.5*N4*$E4</f>
        <v>0</v>
      </c>
      <c r="Y4" s="15">
        <f>0.5*O4*$E4</f>
        <v>15.9</v>
      </c>
      <c r="Z4" s="16">
        <f>U4+P4</f>
        <v>159</v>
      </c>
      <c r="AA4" s="16">
        <f>V4+Q4</f>
        <v>636</v>
      </c>
      <c r="AB4" s="16">
        <f t="shared" ref="AB4:AD19" si="7">W4+R4</f>
        <v>318</v>
      </c>
      <c r="AC4" s="16">
        <f t="shared" si="7"/>
        <v>508.8</v>
      </c>
      <c r="AD4" s="16">
        <f t="shared" si="7"/>
        <v>604.20000000000005</v>
      </c>
    </row>
    <row r="5" spans="1:30" x14ac:dyDescent="0.25">
      <c r="A5" s="12" t="s">
        <v>14</v>
      </c>
      <c r="B5" t="s">
        <v>15</v>
      </c>
      <c r="C5" t="s">
        <v>16</v>
      </c>
      <c r="E5" s="1">
        <v>30</v>
      </c>
      <c r="F5">
        <v>12</v>
      </c>
      <c r="G5">
        <v>41</v>
      </c>
      <c r="H5">
        <v>21</v>
      </c>
      <c r="I5">
        <v>33</v>
      </c>
      <c r="J5">
        <v>37</v>
      </c>
      <c r="K5" s="13">
        <f t="shared" ref="K5:N68" si="8">IF(F5&gt;40,F5-40,0)</f>
        <v>0</v>
      </c>
      <c r="L5" s="13">
        <f t="shared" si="8"/>
        <v>1</v>
      </c>
      <c r="M5" s="13">
        <f t="shared" si="5"/>
        <v>0</v>
      </c>
      <c r="N5" s="13">
        <f t="shared" si="5"/>
        <v>0</v>
      </c>
      <c r="O5" s="13">
        <v>2</v>
      </c>
      <c r="P5" s="14">
        <f t="shared" ref="P5:T64" si="9">$E5*F5</f>
        <v>360</v>
      </c>
      <c r="Q5" s="14">
        <f t="shared" si="9"/>
        <v>1230</v>
      </c>
      <c r="R5" s="14">
        <f t="shared" si="6"/>
        <v>630</v>
      </c>
      <c r="S5" s="14">
        <f t="shared" si="6"/>
        <v>990</v>
      </c>
      <c r="T5" s="14">
        <f t="shared" si="6"/>
        <v>1110</v>
      </c>
      <c r="U5" s="15">
        <f t="shared" ref="U5:Y55" si="10">0.5*K5*$E5</f>
        <v>0</v>
      </c>
      <c r="V5" s="15">
        <f t="shared" si="10"/>
        <v>15</v>
      </c>
      <c r="W5" s="15">
        <f t="shared" si="10"/>
        <v>0</v>
      </c>
      <c r="X5" s="15">
        <f t="shared" si="10"/>
        <v>0</v>
      </c>
      <c r="Y5" s="15">
        <f t="shared" si="10"/>
        <v>30</v>
      </c>
      <c r="Z5" s="16">
        <f t="shared" ref="Z5:AD64" si="11">U5+P5</f>
        <v>360</v>
      </c>
      <c r="AA5" s="16">
        <f t="shared" si="11"/>
        <v>1245</v>
      </c>
      <c r="AB5" s="16">
        <f t="shared" si="7"/>
        <v>630</v>
      </c>
      <c r="AC5" s="16">
        <f t="shared" si="7"/>
        <v>990</v>
      </c>
      <c r="AD5" s="16">
        <f t="shared" si="7"/>
        <v>1140</v>
      </c>
    </row>
    <row r="6" spans="1:30" x14ac:dyDescent="0.25">
      <c r="A6" s="12" t="s">
        <v>17</v>
      </c>
      <c r="B6" t="s">
        <v>18</v>
      </c>
      <c r="C6" t="s">
        <v>19</v>
      </c>
      <c r="E6" s="1">
        <v>31</v>
      </c>
      <c r="F6">
        <v>14</v>
      </c>
      <c r="G6">
        <v>42</v>
      </c>
      <c r="H6">
        <v>22</v>
      </c>
      <c r="I6">
        <v>34</v>
      </c>
      <c r="J6">
        <v>37</v>
      </c>
      <c r="K6" s="13">
        <f t="shared" si="8"/>
        <v>0</v>
      </c>
      <c r="L6" s="13">
        <f t="shared" si="8"/>
        <v>2</v>
      </c>
      <c r="M6" s="13">
        <f t="shared" si="5"/>
        <v>0</v>
      </c>
      <c r="N6" s="13">
        <f t="shared" si="5"/>
        <v>0</v>
      </c>
      <c r="O6" s="13">
        <v>2</v>
      </c>
      <c r="P6" s="14">
        <f t="shared" si="9"/>
        <v>434</v>
      </c>
      <c r="Q6" s="14">
        <f t="shared" si="9"/>
        <v>1302</v>
      </c>
      <c r="R6" s="14">
        <f t="shared" si="6"/>
        <v>682</v>
      </c>
      <c r="S6" s="14">
        <f t="shared" si="6"/>
        <v>1054</v>
      </c>
      <c r="T6" s="14">
        <f t="shared" si="6"/>
        <v>1147</v>
      </c>
      <c r="U6" s="15">
        <f t="shared" si="10"/>
        <v>0</v>
      </c>
      <c r="V6" s="15">
        <f t="shared" si="10"/>
        <v>31</v>
      </c>
      <c r="W6" s="15">
        <f t="shared" si="10"/>
        <v>0</v>
      </c>
      <c r="X6" s="15">
        <f t="shared" si="10"/>
        <v>0</v>
      </c>
      <c r="Y6" s="15">
        <f t="shared" si="10"/>
        <v>31</v>
      </c>
      <c r="Z6" s="16">
        <f t="shared" si="11"/>
        <v>434</v>
      </c>
      <c r="AA6" s="16">
        <f t="shared" si="11"/>
        <v>1333</v>
      </c>
      <c r="AB6" s="16">
        <f t="shared" si="7"/>
        <v>682</v>
      </c>
      <c r="AC6" s="16">
        <f t="shared" si="7"/>
        <v>1054</v>
      </c>
      <c r="AD6" s="16">
        <f t="shared" si="7"/>
        <v>1178</v>
      </c>
    </row>
    <row r="7" spans="1:30" x14ac:dyDescent="0.25">
      <c r="A7" s="12" t="s">
        <v>20</v>
      </c>
      <c r="B7" t="s">
        <v>21</v>
      </c>
      <c r="C7" t="s">
        <v>22</v>
      </c>
      <c r="E7" s="1">
        <v>34</v>
      </c>
      <c r="F7">
        <v>10</v>
      </c>
      <c r="G7">
        <v>43</v>
      </c>
      <c r="H7">
        <v>23</v>
      </c>
      <c r="I7">
        <v>35</v>
      </c>
      <c r="J7">
        <v>37</v>
      </c>
      <c r="K7" s="13">
        <f t="shared" si="8"/>
        <v>0</v>
      </c>
      <c r="L7" s="13">
        <f t="shared" si="8"/>
        <v>3</v>
      </c>
      <c r="M7" s="13">
        <f t="shared" si="5"/>
        <v>0</v>
      </c>
      <c r="N7" s="13">
        <f t="shared" si="5"/>
        <v>0</v>
      </c>
      <c r="O7" s="13">
        <v>2</v>
      </c>
      <c r="P7" s="14">
        <f t="shared" si="9"/>
        <v>340</v>
      </c>
      <c r="Q7" s="14">
        <f t="shared" si="9"/>
        <v>1462</v>
      </c>
      <c r="R7" s="14">
        <f t="shared" si="6"/>
        <v>782</v>
      </c>
      <c r="S7" s="14">
        <f t="shared" si="6"/>
        <v>1190</v>
      </c>
      <c r="T7" s="14">
        <f t="shared" si="6"/>
        <v>1258</v>
      </c>
      <c r="U7" s="15">
        <f t="shared" si="10"/>
        <v>0</v>
      </c>
      <c r="V7" s="15">
        <f t="shared" si="10"/>
        <v>51</v>
      </c>
      <c r="W7" s="15">
        <f t="shared" si="10"/>
        <v>0</v>
      </c>
      <c r="X7" s="15">
        <f t="shared" si="10"/>
        <v>0</v>
      </c>
      <c r="Y7" s="15">
        <f t="shared" si="10"/>
        <v>34</v>
      </c>
      <c r="Z7" s="16">
        <f t="shared" si="11"/>
        <v>340</v>
      </c>
      <c r="AA7" s="16">
        <f t="shared" si="11"/>
        <v>1513</v>
      </c>
      <c r="AB7" s="16">
        <f t="shared" si="7"/>
        <v>782</v>
      </c>
      <c r="AC7" s="16">
        <f t="shared" si="7"/>
        <v>1190</v>
      </c>
      <c r="AD7" s="16">
        <f t="shared" si="7"/>
        <v>1292</v>
      </c>
    </row>
    <row r="8" spans="1:30" x14ac:dyDescent="0.25">
      <c r="A8" s="12" t="s">
        <v>23</v>
      </c>
      <c r="B8" t="s">
        <v>24</v>
      </c>
      <c r="C8" t="s">
        <v>25</v>
      </c>
      <c r="E8" s="1">
        <v>13</v>
      </c>
      <c r="F8">
        <v>7</v>
      </c>
      <c r="G8">
        <v>44</v>
      </c>
      <c r="H8">
        <v>24</v>
      </c>
      <c r="I8">
        <v>36</v>
      </c>
      <c r="J8">
        <v>37</v>
      </c>
      <c r="K8" s="13">
        <f t="shared" si="8"/>
        <v>0</v>
      </c>
      <c r="L8" s="13">
        <f t="shared" si="8"/>
        <v>4</v>
      </c>
      <c r="M8" s="13">
        <f t="shared" si="5"/>
        <v>0</v>
      </c>
      <c r="N8" s="13">
        <f t="shared" si="5"/>
        <v>0</v>
      </c>
      <c r="O8" s="13">
        <v>2</v>
      </c>
      <c r="P8" s="14">
        <f t="shared" si="9"/>
        <v>91</v>
      </c>
      <c r="Q8" s="14">
        <f t="shared" si="9"/>
        <v>572</v>
      </c>
      <c r="R8" s="14">
        <f t="shared" si="6"/>
        <v>312</v>
      </c>
      <c r="S8" s="14">
        <f t="shared" si="6"/>
        <v>468</v>
      </c>
      <c r="T8" s="14">
        <f t="shared" si="6"/>
        <v>481</v>
      </c>
      <c r="U8" s="15">
        <f t="shared" si="10"/>
        <v>0</v>
      </c>
      <c r="V8" s="15">
        <f t="shared" si="10"/>
        <v>26</v>
      </c>
      <c r="W8" s="15">
        <f t="shared" si="10"/>
        <v>0</v>
      </c>
      <c r="X8" s="15">
        <f t="shared" si="10"/>
        <v>0</v>
      </c>
      <c r="Y8" s="15">
        <f t="shared" si="10"/>
        <v>13</v>
      </c>
      <c r="Z8" s="16">
        <f t="shared" si="11"/>
        <v>91</v>
      </c>
      <c r="AA8" s="16">
        <f t="shared" si="11"/>
        <v>598</v>
      </c>
      <c r="AB8" s="16">
        <f t="shared" si="7"/>
        <v>312</v>
      </c>
      <c r="AC8" s="16">
        <f t="shared" si="7"/>
        <v>468</v>
      </c>
      <c r="AD8" s="16">
        <f t="shared" si="7"/>
        <v>494</v>
      </c>
    </row>
    <row r="9" spans="1:30" x14ac:dyDescent="0.25">
      <c r="A9" s="12" t="s">
        <v>26</v>
      </c>
      <c r="B9" t="s">
        <v>27</v>
      </c>
      <c r="C9" t="s">
        <v>28</v>
      </c>
      <c r="E9" s="17">
        <v>91</v>
      </c>
      <c r="F9">
        <v>39</v>
      </c>
      <c r="G9">
        <v>45</v>
      </c>
      <c r="H9">
        <v>25</v>
      </c>
      <c r="I9">
        <v>37</v>
      </c>
      <c r="J9">
        <v>37</v>
      </c>
      <c r="K9" s="13">
        <f t="shared" si="8"/>
        <v>0</v>
      </c>
      <c r="L9" s="13">
        <f t="shared" si="8"/>
        <v>5</v>
      </c>
      <c r="M9" s="13">
        <f t="shared" si="5"/>
        <v>0</v>
      </c>
      <c r="N9" s="13">
        <f t="shared" si="5"/>
        <v>0</v>
      </c>
      <c r="O9" s="13">
        <v>2</v>
      </c>
      <c r="P9" s="14">
        <f t="shared" si="9"/>
        <v>3549</v>
      </c>
      <c r="Q9" s="14">
        <f t="shared" si="9"/>
        <v>4095</v>
      </c>
      <c r="R9" s="14">
        <f t="shared" si="6"/>
        <v>2275</v>
      </c>
      <c r="S9" s="14">
        <f t="shared" si="6"/>
        <v>3367</v>
      </c>
      <c r="T9" s="14">
        <f t="shared" si="6"/>
        <v>3367</v>
      </c>
      <c r="U9" s="15">
        <f t="shared" si="10"/>
        <v>0</v>
      </c>
      <c r="V9" s="15">
        <f t="shared" si="10"/>
        <v>227.5</v>
      </c>
      <c r="W9" s="15">
        <f t="shared" si="10"/>
        <v>0</v>
      </c>
      <c r="X9" s="15">
        <f t="shared" si="10"/>
        <v>0</v>
      </c>
      <c r="Y9" s="15">
        <f t="shared" si="10"/>
        <v>91</v>
      </c>
      <c r="Z9" s="16">
        <f t="shared" si="11"/>
        <v>3549</v>
      </c>
      <c r="AA9" s="16">
        <f t="shared" si="11"/>
        <v>4322.5</v>
      </c>
      <c r="AB9" s="16">
        <f t="shared" si="7"/>
        <v>2275</v>
      </c>
      <c r="AC9" s="16">
        <f t="shared" si="7"/>
        <v>3367</v>
      </c>
      <c r="AD9" s="16">
        <f t="shared" si="7"/>
        <v>3458</v>
      </c>
    </row>
    <row r="10" spans="1:30" x14ac:dyDescent="0.25">
      <c r="A10" s="12" t="s">
        <v>29</v>
      </c>
      <c r="B10" t="s">
        <v>30</v>
      </c>
      <c r="C10" t="s">
        <v>19</v>
      </c>
      <c r="E10" s="17">
        <v>92</v>
      </c>
      <c r="F10" s="18">
        <v>40</v>
      </c>
      <c r="G10">
        <v>46</v>
      </c>
      <c r="H10">
        <v>26</v>
      </c>
      <c r="I10">
        <v>38</v>
      </c>
      <c r="J10">
        <v>37</v>
      </c>
      <c r="K10" s="13">
        <f t="shared" si="8"/>
        <v>0</v>
      </c>
      <c r="L10" s="13">
        <f t="shared" si="8"/>
        <v>6</v>
      </c>
      <c r="M10" s="13">
        <f t="shared" si="5"/>
        <v>0</v>
      </c>
      <c r="N10" s="13">
        <f t="shared" si="5"/>
        <v>0</v>
      </c>
      <c r="O10" s="13">
        <v>2</v>
      </c>
      <c r="P10" s="14">
        <f t="shared" si="9"/>
        <v>3680</v>
      </c>
      <c r="Q10" s="14">
        <f t="shared" si="9"/>
        <v>4232</v>
      </c>
      <c r="R10" s="14">
        <f t="shared" si="6"/>
        <v>2392</v>
      </c>
      <c r="S10" s="14">
        <f t="shared" si="6"/>
        <v>3496</v>
      </c>
      <c r="T10" s="14">
        <f t="shared" si="6"/>
        <v>3404</v>
      </c>
      <c r="U10" s="15">
        <f t="shared" si="10"/>
        <v>0</v>
      </c>
      <c r="V10" s="15">
        <f t="shared" si="10"/>
        <v>276</v>
      </c>
      <c r="W10" s="15">
        <f t="shared" si="10"/>
        <v>0</v>
      </c>
      <c r="X10" s="15">
        <f t="shared" si="10"/>
        <v>0</v>
      </c>
      <c r="Y10" s="15">
        <f t="shared" si="10"/>
        <v>92</v>
      </c>
      <c r="Z10" s="16">
        <f t="shared" si="11"/>
        <v>3680</v>
      </c>
      <c r="AA10" s="16">
        <f t="shared" si="11"/>
        <v>4508</v>
      </c>
      <c r="AB10" s="16">
        <f t="shared" si="7"/>
        <v>2392</v>
      </c>
      <c r="AC10" s="16">
        <f t="shared" si="7"/>
        <v>3496</v>
      </c>
      <c r="AD10" s="16">
        <f t="shared" si="7"/>
        <v>3496</v>
      </c>
    </row>
    <row r="11" spans="1:30" x14ac:dyDescent="0.25">
      <c r="A11" s="12" t="s">
        <v>31</v>
      </c>
      <c r="B11" t="s">
        <v>32</v>
      </c>
      <c r="C11" t="s">
        <v>33</v>
      </c>
      <c r="E11" s="17">
        <v>93</v>
      </c>
      <c r="F11" s="18">
        <v>30</v>
      </c>
      <c r="G11">
        <v>47</v>
      </c>
      <c r="H11">
        <v>27</v>
      </c>
      <c r="I11">
        <v>39</v>
      </c>
      <c r="J11">
        <v>37</v>
      </c>
      <c r="K11" s="13">
        <f t="shared" si="8"/>
        <v>0</v>
      </c>
      <c r="L11" s="13">
        <f t="shared" si="8"/>
        <v>7</v>
      </c>
      <c r="M11" s="13">
        <f t="shared" si="5"/>
        <v>0</v>
      </c>
      <c r="N11" s="13">
        <f t="shared" si="5"/>
        <v>0</v>
      </c>
      <c r="O11" s="13">
        <v>2</v>
      </c>
      <c r="P11" s="14">
        <f t="shared" si="9"/>
        <v>2790</v>
      </c>
      <c r="Q11" s="14">
        <f t="shared" si="9"/>
        <v>4371</v>
      </c>
      <c r="R11" s="14">
        <f t="shared" si="6"/>
        <v>2511</v>
      </c>
      <c r="S11" s="14">
        <f t="shared" si="6"/>
        <v>3627</v>
      </c>
      <c r="T11" s="14">
        <f t="shared" si="6"/>
        <v>3441</v>
      </c>
      <c r="U11" s="15">
        <f t="shared" si="10"/>
        <v>0</v>
      </c>
      <c r="V11" s="15">
        <f t="shared" si="10"/>
        <v>325.5</v>
      </c>
      <c r="W11" s="15">
        <f t="shared" si="10"/>
        <v>0</v>
      </c>
      <c r="X11" s="15">
        <f t="shared" si="10"/>
        <v>0</v>
      </c>
      <c r="Y11" s="15">
        <f t="shared" si="10"/>
        <v>93</v>
      </c>
      <c r="Z11" s="16">
        <f t="shared" si="11"/>
        <v>2790</v>
      </c>
      <c r="AA11" s="16">
        <f t="shared" si="11"/>
        <v>4696.5</v>
      </c>
      <c r="AB11" s="16">
        <f t="shared" si="7"/>
        <v>2511</v>
      </c>
      <c r="AC11" s="16">
        <f t="shared" si="7"/>
        <v>3627</v>
      </c>
      <c r="AD11" s="16">
        <f t="shared" si="7"/>
        <v>3534</v>
      </c>
    </row>
    <row r="12" spans="1:30" x14ac:dyDescent="0.25">
      <c r="A12" s="12" t="s">
        <v>34</v>
      </c>
      <c r="B12" t="s">
        <v>35</v>
      </c>
      <c r="C12" t="s">
        <v>36</v>
      </c>
      <c r="E12" s="17">
        <v>94</v>
      </c>
      <c r="F12" s="18">
        <v>50</v>
      </c>
      <c r="G12">
        <v>48</v>
      </c>
      <c r="H12">
        <v>28</v>
      </c>
      <c r="I12">
        <v>40</v>
      </c>
      <c r="J12">
        <v>37</v>
      </c>
      <c r="K12" s="13">
        <f t="shared" si="8"/>
        <v>10</v>
      </c>
      <c r="L12" s="13">
        <f t="shared" si="8"/>
        <v>8</v>
      </c>
      <c r="M12" s="13">
        <f t="shared" si="5"/>
        <v>0</v>
      </c>
      <c r="N12" s="13">
        <f t="shared" si="5"/>
        <v>0</v>
      </c>
      <c r="O12" s="13">
        <v>2</v>
      </c>
      <c r="P12" s="14">
        <f t="shared" si="9"/>
        <v>4700</v>
      </c>
      <c r="Q12" s="14">
        <f t="shared" si="9"/>
        <v>4512</v>
      </c>
      <c r="R12" s="14">
        <f t="shared" si="6"/>
        <v>2632</v>
      </c>
      <c r="S12" s="14">
        <f t="shared" si="6"/>
        <v>3760</v>
      </c>
      <c r="T12" s="14">
        <f t="shared" si="6"/>
        <v>3478</v>
      </c>
      <c r="U12" s="15">
        <f t="shared" si="10"/>
        <v>470</v>
      </c>
      <c r="V12" s="15">
        <f t="shared" si="10"/>
        <v>376</v>
      </c>
      <c r="W12" s="15">
        <f t="shared" si="10"/>
        <v>0</v>
      </c>
      <c r="X12" s="15">
        <f t="shared" si="10"/>
        <v>0</v>
      </c>
      <c r="Y12" s="15">
        <f t="shared" si="10"/>
        <v>94</v>
      </c>
      <c r="Z12" s="16">
        <f t="shared" si="11"/>
        <v>5170</v>
      </c>
      <c r="AA12" s="16">
        <f t="shared" si="11"/>
        <v>4888</v>
      </c>
      <c r="AB12" s="16">
        <f t="shared" si="7"/>
        <v>2632</v>
      </c>
      <c r="AC12" s="16">
        <f t="shared" si="7"/>
        <v>3760</v>
      </c>
      <c r="AD12" s="16">
        <f t="shared" si="7"/>
        <v>3572</v>
      </c>
    </row>
    <row r="13" spans="1:30" x14ac:dyDescent="0.25">
      <c r="A13" s="12" t="s">
        <v>37</v>
      </c>
      <c r="B13" t="s">
        <v>38</v>
      </c>
      <c r="C13" t="s">
        <v>39</v>
      </c>
      <c r="E13" s="17">
        <v>95</v>
      </c>
      <c r="F13" s="18">
        <v>23</v>
      </c>
      <c r="G13">
        <v>49</v>
      </c>
      <c r="H13">
        <v>29</v>
      </c>
      <c r="I13">
        <v>41</v>
      </c>
      <c r="J13">
        <v>37</v>
      </c>
      <c r="K13" s="13">
        <f t="shared" si="8"/>
        <v>0</v>
      </c>
      <c r="L13" s="13">
        <f t="shared" si="8"/>
        <v>9</v>
      </c>
      <c r="M13" s="13">
        <f t="shared" si="5"/>
        <v>0</v>
      </c>
      <c r="N13" s="13">
        <f t="shared" si="5"/>
        <v>1</v>
      </c>
      <c r="O13" s="13">
        <v>2</v>
      </c>
      <c r="P13" s="14">
        <f t="shared" si="9"/>
        <v>2185</v>
      </c>
      <c r="Q13" s="14">
        <f t="shared" si="9"/>
        <v>4655</v>
      </c>
      <c r="R13" s="14">
        <f t="shared" si="6"/>
        <v>2755</v>
      </c>
      <c r="S13" s="14">
        <f t="shared" si="6"/>
        <v>3895</v>
      </c>
      <c r="T13" s="14">
        <f t="shared" si="6"/>
        <v>3515</v>
      </c>
      <c r="U13" s="15">
        <f t="shared" si="10"/>
        <v>0</v>
      </c>
      <c r="V13" s="15">
        <f t="shared" si="10"/>
        <v>427.5</v>
      </c>
      <c r="W13" s="15">
        <f t="shared" si="10"/>
        <v>0</v>
      </c>
      <c r="X13" s="15">
        <f t="shared" si="10"/>
        <v>47.5</v>
      </c>
      <c r="Y13" s="15">
        <f t="shared" si="10"/>
        <v>95</v>
      </c>
      <c r="Z13" s="16">
        <f t="shared" si="11"/>
        <v>2185</v>
      </c>
      <c r="AA13" s="16">
        <f t="shared" si="11"/>
        <v>5082.5</v>
      </c>
      <c r="AB13" s="16">
        <f t="shared" si="7"/>
        <v>2755</v>
      </c>
      <c r="AC13" s="16">
        <f t="shared" si="7"/>
        <v>3942.5</v>
      </c>
      <c r="AD13" s="16">
        <f t="shared" si="7"/>
        <v>3610</v>
      </c>
    </row>
    <row r="14" spans="1:30" x14ac:dyDescent="0.25">
      <c r="A14" s="12" t="s">
        <v>40</v>
      </c>
      <c r="B14" t="s">
        <v>41</v>
      </c>
      <c r="C14" t="s">
        <v>42</v>
      </c>
      <c r="E14" s="17">
        <v>96</v>
      </c>
      <c r="F14" s="18">
        <v>26</v>
      </c>
      <c r="G14">
        <v>50</v>
      </c>
      <c r="H14">
        <v>30</v>
      </c>
      <c r="I14">
        <v>42</v>
      </c>
      <c r="J14">
        <v>37</v>
      </c>
      <c r="K14" s="13">
        <f t="shared" si="8"/>
        <v>0</v>
      </c>
      <c r="L14" s="13">
        <f t="shared" si="8"/>
        <v>10</v>
      </c>
      <c r="M14" s="13">
        <f t="shared" si="5"/>
        <v>0</v>
      </c>
      <c r="N14" s="13">
        <f t="shared" si="5"/>
        <v>2</v>
      </c>
      <c r="O14" s="13">
        <v>2</v>
      </c>
      <c r="P14" s="14">
        <f t="shared" si="9"/>
        <v>2496</v>
      </c>
      <c r="Q14" s="14">
        <f t="shared" si="9"/>
        <v>4800</v>
      </c>
      <c r="R14" s="14">
        <f t="shared" si="6"/>
        <v>2880</v>
      </c>
      <c r="S14" s="14">
        <f t="shared" si="6"/>
        <v>4032</v>
      </c>
      <c r="T14" s="14">
        <f t="shared" si="6"/>
        <v>3552</v>
      </c>
      <c r="U14" s="15">
        <f t="shared" si="10"/>
        <v>0</v>
      </c>
      <c r="V14" s="15">
        <f t="shared" si="10"/>
        <v>480</v>
      </c>
      <c r="W14" s="15">
        <f t="shared" si="10"/>
        <v>0</v>
      </c>
      <c r="X14" s="15">
        <f t="shared" si="10"/>
        <v>96</v>
      </c>
      <c r="Y14" s="15">
        <f t="shared" si="10"/>
        <v>96</v>
      </c>
      <c r="Z14" s="16">
        <f t="shared" si="11"/>
        <v>2496</v>
      </c>
      <c r="AA14" s="16">
        <f t="shared" si="11"/>
        <v>5280</v>
      </c>
      <c r="AB14" s="16">
        <f t="shared" si="7"/>
        <v>2880</v>
      </c>
      <c r="AC14" s="16">
        <f t="shared" si="7"/>
        <v>4128</v>
      </c>
      <c r="AD14" s="16">
        <f t="shared" si="7"/>
        <v>3648</v>
      </c>
    </row>
    <row r="15" spans="1:30" x14ac:dyDescent="0.25">
      <c r="A15" s="12" t="s">
        <v>43</v>
      </c>
      <c r="B15" t="s">
        <v>44</v>
      </c>
      <c r="C15" t="s">
        <v>45</v>
      </c>
      <c r="E15" s="17">
        <v>97</v>
      </c>
      <c r="F15" s="18">
        <v>60</v>
      </c>
      <c r="G15">
        <v>51</v>
      </c>
      <c r="H15">
        <v>31</v>
      </c>
      <c r="I15">
        <v>43</v>
      </c>
      <c r="J15">
        <v>37</v>
      </c>
      <c r="K15" s="13">
        <f t="shared" si="8"/>
        <v>20</v>
      </c>
      <c r="L15" s="13">
        <f t="shared" si="8"/>
        <v>11</v>
      </c>
      <c r="M15" s="13">
        <f t="shared" si="5"/>
        <v>0</v>
      </c>
      <c r="N15" s="13">
        <f t="shared" si="5"/>
        <v>3</v>
      </c>
      <c r="O15" s="13">
        <v>2</v>
      </c>
      <c r="P15" s="14">
        <f t="shared" si="9"/>
        <v>5820</v>
      </c>
      <c r="Q15" s="14">
        <f t="shared" si="9"/>
        <v>4947</v>
      </c>
      <c r="R15" s="14">
        <f t="shared" si="6"/>
        <v>3007</v>
      </c>
      <c r="S15" s="14">
        <f t="shared" si="6"/>
        <v>4171</v>
      </c>
      <c r="T15" s="14">
        <f t="shared" si="6"/>
        <v>3589</v>
      </c>
      <c r="U15" s="15">
        <f t="shared" si="10"/>
        <v>970</v>
      </c>
      <c r="V15" s="15">
        <f t="shared" si="10"/>
        <v>533.5</v>
      </c>
      <c r="W15" s="15">
        <f t="shared" si="10"/>
        <v>0</v>
      </c>
      <c r="X15" s="15">
        <f t="shared" si="10"/>
        <v>145.5</v>
      </c>
      <c r="Y15" s="15">
        <f t="shared" si="10"/>
        <v>97</v>
      </c>
      <c r="Z15" s="16">
        <f t="shared" si="11"/>
        <v>6790</v>
      </c>
      <c r="AA15" s="16">
        <f t="shared" si="11"/>
        <v>5480.5</v>
      </c>
      <c r="AB15" s="16">
        <f t="shared" si="7"/>
        <v>3007</v>
      </c>
      <c r="AC15" s="16">
        <f t="shared" si="7"/>
        <v>4316.5</v>
      </c>
      <c r="AD15" s="16">
        <f t="shared" si="7"/>
        <v>3686</v>
      </c>
    </row>
    <row r="16" spans="1:30" x14ac:dyDescent="0.25">
      <c r="A16" s="12" t="s">
        <v>46</v>
      </c>
      <c r="B16" t="s">
        <v>47</v>
      </c>
      <c r="C16" t="s">
        <v>48</v>
      </c>
      <c r="E16" s="17">
        <v>98</v>
      </c>
      <c r="F16" s="18">
        <v>24</v>
      </c>
      <c r="G16">
        <v>52</v>
      </c>
      <c r="H16">
        <v>32</v>
      </c>
      <c r="I16">
        <v>44</v>
      </c>
      <c r="J16">
        <v>37</v>
      </c>
      <c r="K16" s="13">
        <f t="shared" si="8"/>
        <v>0</v>
      </c>
      <c r="L16" s="13">
        <f t="shared" si="8"/>
        <v>12</v>
      </c>
      <c r="M16" s="13">
        <f t="shared" si="5"/>
        <v>0</v>
      </c>
      <c r="N16" s="13">
        <f t="shared" si="5"/>
        <v>4</v>
      </c>
      <c r="O16" s="13">
        <v>2</v>
      </c>
      <c r="P16" s="14">
        <f t="shared" si="9"/>
        <v>2352</v>
      </c>
      <c r="Q16" s="14">
        <f t="shared" si="9"/>
        <v>5096</v>
      </c>
      <c r="R16" s="14">
        <f t="shared" si="6"/>
        <v>3136</v>
      </c>
      <c r="S16" s="14">
        <f t="shared" si="6"/>
        <v>4312</v>
      </c>
      <c r="T16" s="14">
        <f t="shared" si="6"/>
        <v>3626</v>
      </c>
      <c r="U16" s="15">
        <f t="shared" si="10"/>
        <v>0</v>
      </c>
      <c r="V16" s="15">
        <f t="shared" si="10"/>
        <v>588</v>
      </c>
      <c r="W16" s="15">
        <f t="shared" si="10"/>
        <v>0</v>
      </c>
      <c r="X16" s="15">
        <f t="shared" si="10"/>
        <v>196</v>
      </c>
      <c r="Y16" s="15">
        <f t="shared" si="10"/>
        <v>98</v>
      </c>
      <c r="Z16" s="16">
        <f t="shared" si="11"/>
        <v>2352</v>
      </c>
      <c r="AA16" s="16">
        <f t="shared" si="11"/>
        <v>5684</v>
      </c>
      <c r="AB16" s="16">
        <f t="shared" si="7"/>
        <v>3136</v>
      </c>
      <c r="AC16" s="16">
        <f t="shared" si="7"/>
        <v>4508</v>
      </c>
      <c r="AD16" s="16">
        <f t="shared" si="7"/>
        <v>3724</v>
      </c>
    </row>
    <row r="17" spans="1:30" x14ac:dyDescent="0.25">
      <c r="A17" s="12" t="s">
        <v>49</v>
      </c>
      <c r="B17" t="s">
        <v>50</v>
      </c>
      <c r="C17" t="s">
        <v>45</v>
      </c>
      <c r="E17" s="17">
        <v>50</v>
      </c>
      <c r="F17" s="18">
        <v>25</v>
      </c>
      <c r="G17">
        <v>53</v>
      </c>
      <c r="H17">
        <v>33</v>
      </c>
      <c r="I17">
        <v>45</v>
      </c>
      <c r="J17">
        <v>37</v>
      </c>
      <c r="K17" s="13">
        <f t="shared" si="8"/>
        <v>0</v>
      </c>
      <c r="L17" s="13">
        <f t="shared" si="8"/>
        <v>13</v>
      </c>
      <c r="M17" s="13">
        <f t="shared" si="5"/>
        <v>0</v>
      </c>
      <c r="N17" s="13">
        <f t="shared" si="5"/>
        <v>5</v>
      </c>
      <c r="O17" s="13">
        <v>2</v>
      </c>
      <c r="P17" s="14">
        <f t="shared" si="9"/>
        <v>1250</v>
      </c>
      <c r="Q17" s="14">
        <f t="shared" si="9"/>
        <v>2650</v>
      </c>
      <c r="R17" s="14">
        <f t="shared" si="6"/>
        <v>1650</v>
      </c>
      <c r="S17" s="14">
        <f t="shared" si="6"/>
        <v>2250</v>
      </c>
      <c r="T17" s="14">
        <f t="shared" si="6"/>
        <v>1850</v>
      </c>
      <c r="U17" s="15">
        <f t="shared" si="10"/>
        <v>0</v>
      </c>
      <c r="V17" s="15">
        <f t="shared" si="10"/>
        <v>325</v>
      </c>
      <c r="W17" s="15">
        <f t="shared" si="10"/>
        <v>0</v>
      </c>
      <c r="X17" s="15">
        <f t="shared" si="10"/>
        <v>125</v>
      </c>
      <c r="Y17" s="15">
        <f t="shared" si="10"/>
        <v>50</v>
      </c>
      <c r="Z17" s="16">
        <f t="shared" si="11"/>
        <v>1250</v>
      </c>
      <c r="AA17" s="16">
        <f t="shared" si="11"/>
        <v>2975</v>
      </c>
      <c r="AB17" s="16">
        <f t="shared" si="7"/>
        <v>1650</v>
      </c>
      <c r="AC17" s="16">
        <f t="shared" si="7"/>
        <v>2375</v>
      </c>
      <c r="AD17" s="16">
        <f t="shared" si="7"/>
        <v>1900</v>
      </c>
    </row>
    <row r="18" spans="1:30" x14ac:dyDescent="0.25">
      <c r="A18" s="12" t="s">
        <v>51</v>
      </c>
      <c r="B18" t="s">
        <v>52</v>
      </c>
      <c r="C18" t="s">
        <v>53</v>
      </c>
      <c r="E18" s="17">
        <v>23</v>
      </c>
      <c r="F18" s="18">
        <v>26</v>
      </c>
      <c r="G18">
        <v>54</v>
      </c>
      <c r="H18">
        <v>34</v>
      </c>
      <c r="I18">
        <v>46</v>
      </c>
      <c r="J18">
        <v>37</v>
      </c>
      <c r="K18" s="13">
        <f t="shared" si="8"/>
        <v>0</v>
      </c>
      <c r="L18" s="13">
        <f t="shared" si="8"/>
        <v>14</v>
      </c>
      <c r="M18" s="13">
        <f t="shared" si="5"/>
        <v>0</v>
      </c>
      <c r="N18" s="13">
        <f t="shared" si="5"/>
        <v>6</v>
      </c>
      <c r="O18" s="13">
        <v>2</v>
      </c>
      <c r="P18" s="14">
        <f t="shared" si="9"/>
        <v>598</v>
      </c>
      <c r="Q18" s="14">
        <f t="shared" si="9"/>
        <v>1242</v>
      </c>
      <c r="R18" s="14">
        <f t="shared" si="6"/>
        <v>782</v>
      </c>
      <c r="S18" s="14">
        <f t="shared" si="6"/>
        <v>1058</v>
      </c>
      <c r="T18" s="14">
        <f t="shared" si="6"/>
        <v>851</v>
      </c>
      <c r="U18" s="15">
        <f t="shared" si="10"/>
        <v>0</v>
      </c>
      <c r="V18" s="15">
        <f t="shared" si="10"/>
        <v>161</v>
      </c>
      <c r="W18" s="15">
        <f t="shared" si="10"/>
        <v>0</v>
      </c>
      <c r="X18" s="15">
        <f t="shared" si="10"/>
        <v>69</v>
      </c>
      <c r="Y18" s="15">
        <f t="shared" si="10"/>
        <v>23</v>
      </c>
      <c r="Z18" s="16">
        <f t="shared" si="11"/>
        <v>598</v>
      </c>
      <c r="AA18" s="16">
        <f t="shared" si="11"/>
        <v>1403</v>
      </c>
      <c r="AB18" s="16">
        <f t="shared" si="7"/>
        <v>782</v>
      </c>
      <c r="AC18" s="16">
        <f t="shared" si="7"/>
        <v>1127</v>
      </c>
      <c r="AD18" s="16">
        <f t="shared" si="7"/>
        <v>874</v>
      </c>
    </row>
    <row r="19" spans="1:30" x14ac:dyDescent="0.25">
      <c r="A19" s="12" t="s">
        <v>54</v>
      </c>
      <c r="B19" t="s">
        <v>55</v>
      </c>
      <c r="C19" t="s">
        <v>56</v>
      </c>
      <c r="E19" s="17">
        <v>26</v>
      </c>
      <c r="F19" s="18">
        <v>27</v>
      </c>
      <c r="G19">
        <v>55</v>
      </c>
      <c r="H19">
        <v>35</v>
      </c>
      <c r="I19">
        <v>47</v>
      </c>
      <c r="J19">
        <v>37</v>
      </c>
      <c r="K19" s="13">
        <f t="shared" si="8"/>
        <v>0</v>
      </c>
      <c r="L19" s="13">
        <f t="shared" si="8"/>
        <v>15</v>
      </c>
      <c r="M19" s="13">
        <f t="shared" si="5"/>
        <v>0</v>
      </c>
      <c r="N19" s="13">
        <f t="shared" si="5"/>
        <v>7</v>
      </c>
      <c r="O19" s="13">
        <v>2</v>
      </c>
      <c r="P19" s="14">
        <f t="shared" si="9"/>
        <v>702</v>
      </c>
      <c r="Q19" s="14">
        <f t="shared" si="9"/>
        <v>1430</v>
      </c>
      <c r="R19" s="14">
        <f t="shared" si="6"/>
        <v>910</v>
      </c>
      <c r="S19" s="14">
        <f t="shared" si="6"/>
        <v>1222</v>
      </c>
      <c r="T19" s="14">
        <f t="shared" si="6"/>
        <v>962</v>
      </c>
      <c r="U19" s="15">
        <f t="shared" si="10"/>
        <v>0</v>
      </c>
      <c r="V19" s="15">
        <f t="shared" si="10"/>
        <v>195</v>
      </c>
      <c r="W19" s="15">
        <f t="shared" si="10"/>
        <v>0</v>
      </c>
      <c r="X19" s="15">
        <f t="shared" si="10"/>
        <v>91</v>
      </c>
      <c r="Y19" s="15">
        <f t="shared" si="10"/>
        <v>26</v>
      </c>
      <c r="Z19" s="16">
        <f t="shared" si="11"/>
        <v>702</v>
      </c>
      <c r="AA19" s="16">
        <f t="shared" si="11"/>
        <v>1625</v>
      </c>
      <c r="AB19" s="16">
        <f t="shared" si="7"/>
        <v>910</v>
      </c>
      <c r="AC19" s="16">
        <f t="shared" si="7"/>
        <v>1313</v>
      </c>
      <c r="AD19" s="16">
        <f t="shared" si="7"/>
        <v>988</v>
      </c>
    </row>
    <row r="20" spans="1:30" x14ac:dyDescent="0.25">
      <c r="A20" s="12" t="s">
        <v>57</v>
      </c>
      <c r="B20" t="s">
        <v>58</v>
      </c>
      <c r="C20" t="s">
        <v>45</v>
      </c>
      <c r="E20" s="17">
        <v>60</v>
      </c>
      <c r="F20" s="18">
        <v>28</v>
      </c>
      <c r="G20">
        <v>56</v>
      </c>
      <c r="H20">
        <v>36</v>
      </c>
      <c r="I20">
        <v>48</v>
      </c>
      <c r="J20">
        <v>37</v>
      </c>
      <c r="K20" s="13">
        <f t="shared" si="8"/>
        <v>0</v>
      </c>
      <c r="L20" s="13">
        <f t="shared" si="8"/>
        <v>16</v>
      </c>
      <c r="M20" s="13">
        <f t="shared" si="8"/>
        <v>0</v>
      </c>
      <c r="N20" s="13">
        <f t="shared" si="8"/>
        <v>8</v>
      </c>
      <c r="O20" s="13">
        <v>2</v>
      </c>
      <c r="P20" s="14">
        <f t="shared" si="9"/>
        <v>1680</v>
      </c>
      <c r="Q20" s="14">
        <f t="shared" si="9"/>
        <v>3360</v>
      </c>
      <c r="R20" s="14">
        <f t="shared" si="9"/>
        <v>2160</v>
      </c>
      <c r="S20" s="14">
        <f t="shared" si="9"/>
        <v>2880</v>
      </c>
      <c r="T20" s="14">
        <f t="shared" si="9"/>
        <v>2220</v>
      </c>
      <c r="U20" s="15">
        <f t="shared" si="10"/>
        <v>0</v>
      </c>
      <c r="V20" s="15">
        <f t="shared" si="10"/>
        <v>480</v>
      </c>
      <c r="W20" s="15">
        <f t="shared" si="10"/>
        <v>0</v>
      </c>
      <c r="X20" s="15">
        <f t="shared" si="10"/>
        <v>240</v>
      </c>
      <c r="Y20" s="15">
        <f t="shared" si="10"/>
        <v>60</v>
      </c>
      <c r="Z20" s="16">
        <f t="shared" si="11"/>
        <v>1680</v>
      </c>
      <c r="AA20" s="16">
        <f t="shared" si="11"/>
        <v>3840</v>
      </c>
      <c r="AB20" s="16">
        <f t="shared" si="11"/>
        <v>2160</v>
      </c>
      <c r="AC20" s="16">
        <f t="shared" si="11"/>
        <v>3120</v>
      </c>
      <c r="AD20" s="16">
        <f t="shared" si="11"/>
        <v>2280</v>
      </c>
    </row>
    <row r="21" spans="1:30" x14ac:dyDescent="0.25">
      <c r="A21" s="12" t="s">
        <v>59</v>
      </c>
      <c r="B21" t="s">
        <v>60</v>
      </c>
      <c r="C21" t="s">
        <v>61</v>
      </c>
      <c r="E21" s="17">
        <v>24</v>
      </c>
      <c r="F21" s="18">
        <v>29</v>
      </c>
      <c r="G21">
        <v>57</v>
      </c>
      <c r="H21">
        <v>37</v>
      </c>
      <c r="I21">
        <v>49</v>
      </c>
      <c r="J21">
        <v>37</v>
      </c>
      <c r="K21" s="13">
        <f t="shared" si="8"/>
        <v>0</v>
      </c>
      <c r="L21" s="13">
        <f t="shared" si="8"/>
        <v>17</v>
      </c>
      <c r="M21" s="13">
        <f t="shared" si="8"/>
        <v>0</v>
      </c>
      <c r="N21" s="13">
        <f t="shared" si="8"/>
        <v>9</v>
      </c>
      <c r="O21" s="13">
        <v>2</v>
      </c>
      <c r="P21" s="14">
        <f t="shared" si="9"/>
        <v>696</v>
      </c>
      <c r="Q21" s="14">
        <f t="shared" si="9"/>
        <v>1368</v>
      </c>
      <c r="R21" s="14">
        <f t="shared" si="9"/>
        <v>888</v>
      </c>
      <c r="S21" s="14">
        <f t="shared" si="9"/>
        <v>1176</v>
      </c>
      <c r="T21" s="14">
        <f t="shared" si="9"/>
        <v>888</v>
      </c>
      <c r="U21" s="15">
        <f t="shared" si="10"/>
        <v>0</v>
      </c>
      <c r="V21" s="15">
        <f t="shared" si="10"/>
        <v>204</v>
      </c>
      <c r="W21" s="15">
        <f t="shared" si="10"/>
        <v>0</v>
      </c>
      <c r="X21" s="15">
        <f t="shared" si="10"/>
        <v>108</v>
      </c>
      <c r="Y21" s="15">
        <f t="shared" si="10"/>
        <v>24</v>
      </c>
      <c r="Z21" s="16">
        <f t="shared" si="11"/>
        <v>696</v>
      </c>
      <c r="AA21" s="16">
        <f t="shared" si="11"/>
        <v>1572</v>
      </c>
      <c r="AB21" s="16">
        <f t="shared" si="11"/>
        <v>888</v>
      </c>
      <c r="AC21" s="16">
        <f t="shared" si="11"/>
        <v>1284</v>
      </c>
      <c r="AD21" s="16">
        <f t="shared" si="11"/>
        <v>912</v>
      </c>
    </row>
    <row r="22" spans="1:30" x14ac:dyDescent="0.25">
      <c r="A22" s="12" t="s">
        <v>62</v>
      </c>
      <c r="B22" t="s">
        <v>63</v>
      </c>
      <c r="C22" t="s">
        <v>64</v>
      </c>
      <c r="E22" s="17">
        <v>25</v>
      </c>
      <c r="F22" s="18">
        <v>40</v>
      </c>
      <c r="G22">
        <v>58</v>
      </c>
      <c r="H22">
        <v>38</v>
      </c>
      <c r="I22">
        <v>50</v>
      </c>
      <c r="J22">
        <v>37</v>
      </c>
      <c r="K22" s="13">
        <f t="shared" si="8"/>
        <v>0</v>
      </c>
      <c r="L22" s="13">
        <f t="shared" si="8"/>
        <v>18</v>
      </c>
      <c r="M22" s="13">
        <f t="shared" si="8"/>
        <v>0</v>
      </c>
      <c r="N22" s="13">
        <f t="shared" si="8"/>
        <v>10</v>
      </c>
      <c r="O22" s="13">
        <v>2</v>
      </c>
      <c r="P22" s="14">
        <f t="shared" si="9"/>
        <v>1000</v>
      </c>
      <c r="Q22" s="14">
        <f t="shared" si="9"/>
        <v>1450</v>
      </c>
      <c r="R22" s="14">
        <f t="shared" si="9"/>
        <v>950</v>
      </c>
      <c r="S22" s="14">
        <f t="shared" si="9"/>
        <v>1250</v>
      </c>
      <c r="T22" s="14">
        <f t="shared" si="9"/>
        <v>925</v>
      </c>
      <c r="U22" s="15">
        <f t="shared" si="10"/>
        <v>0</v>
      </c>
      <c r="V22" s="15">
        <f t="shared" si="10"/>
        <v>225</v>
      </c>
      <c r="W22" s="15">
        <f t="shared" si="10"/>
        <v>0</v>
      </c>
      <c r="X22" s="15">
        <f t="shared" si="10"/>
        <v>125</v>
      </c>
      <c r="Y22" s="15">
        <f t="shared" si="10"/>
        <v>25</v>
      </c>
      <c r="Z22" s="16">
        <f t="shared" si="11"/>
        <v>1000</v>
      </c>
      <c r="AA22" s="16">
        <f t="shared" si="11"/>
        <v>1675</v>
      </c>
      <c r="AB22" s="16">
        <f t="shared" si="11"/>
        <v>950</v>
      </c>
      <c r="AC22" s="16">
        <f t="shared" si="11"/>
        <v>1375</v>
      </c>
      <c r="AD22" s="16">
        <f t="shared" si="11"/>
        <v>950</v>
      </c>
    </row>
    <row r="23" spans="1:30" x14ac:dyDescent="0.25">
      <c r="A23" s="12" t="s">
        <v>65</v>
      </c>
      <c r="B23" t="s">
        <v>66</v>
      </c>
      <c r="C23" t="s">
        <v>67</v>
      </c>
      <c r="E23" s="17">
        <v>26</v>
      </c>
      <c r="F23" s="18">
        <v>30</v>
      </c>
      <c r="G23">
        <v>59</v>
      </c>
      <c r="H23">
        <v>39</v>
      </c>
      <c r="I23">
        <v>51</v>
      </c>
      <c r="J23">
        <v>37</v>
      </c>
      <c r="K23" s="13">
        <f t="shared" si="8"/>
        <v>0</v>
      </c>
      <c r="L23" s="13">
        <f t="shared" si="8"/>
        <v>19</v>
      </c>
      <c r="M23" s="13">
        <f t="shared" si="8"/>
        <v>0</v>
      </c>
      <c r="N23" s="13">
        <f t="shared" si="8"/>
        <v>11</v>
      </c>
      <c r="O23" s="13">
        <v>2</v>
      </c>
      <c r="P23" s="14">
        <f t="shared" si="9"/>
        <v>780</v>
      </c>
      <c r="Q23" s="14">
        <f t="shared" si="9"/>
        <v>1534</v>
      </c>
      <c r="R23" s="14">
        <f t="shared" si="9"/>
        <v>1014</v>
      </c>
      <c r="S23" s="14">
        <f t="shared" si="9"/>
        <v>1326</v>
      </c>
      <c r="T23" s="14">
        <f t="shared" si="9"/>
        <v>962</v>
      </c>
      <c r="U23" s="15">
        <f t="shared" si="10"/>
        <v>0</v>
      </c>
      <c r="V23" s="15">
        <f t="shared" si="10"/>
        <v>247</v>
      </c>
      <c r="W23" s="15">
        <f t="shared" si="10"/>
        <v>0</v>
      </c>
      <c r="X23" s="15">
        <f t="shared" si="10"/>
        <v>143</v>
      </c>
      <c r="Y23" s="15">
        <f t="shared" si="10"/>
        <v>26</v>
      </c>
      <c r="Z23" s="16">
        <f t="shared" si="11"/>
        <v>780</v>
      </c>
      <c r="AA23" s="16">
        <f t="shared" si="11"/>
        <v>1781</v>
      </c>
      <c r="AB23" s="16">
        <f t="shared" si="11"/>
        <v>1014</v>
      </c>
      <c r="AC23" s="16">
        <f t="shared" si="11"/>
        <v>1469</v>
      </c>
      <c r="AD23" s="16">
        <f t="shared" si="11"/>
        <v>988</v>
      </c>
    </row>
    <row r="24" spans="1:30" x14ac:dyDescent="0.25">
      <c r="A24" s="12" t="s">
        <v>68</v>
      </c>
      <c r="B24" t="s">
        <v>69</v>
      </c>
      <c r="C24" t="s">
        <v>70</v>
      </c>
      <c r="E24" s="17">
        <v>27</v>
      </c>
      <c r="F24" s="18">
        <v>50</v>
      </c>
      <c r="G24">
        <v>60</v>
      </c>
      <c r="H24">
        <v>40</v>
      </c>
      <c r="I24">
        <v>52</v>
      </c>
      <c r="J24">
        <v>37</v>
      </c>
      <c r="K24" s="13">
        <f t="shared" si="8"/>
        <v>10</v>
      </c>
      <c r="L24" s="13">
        <f t="shared" si="8"/>
        <v>20</v>
      </c>
      <c r="M24" s="13">
        <f t="shared" si="8"/>
        <v>0</v>
      </c>
      <c r="N24" s="13">
        <f t="shared" si="8"/>
        <v>12</v>
      </c>
      <c r="O24" s="13">
        <v>2</v>
      </c>
      <c r="P24" s="14">
        <f t="shared" si="9"/>
        <v>1350</v>
      </c>
      <c r="Q24" s="14">
        <f t="shared" si="9"/>
        <v>1620</v>
      </c>
      <c r="R24" s="14">
        <f t="shared" si="9"/>
        <v>1080</v>
      </c>
      <c r="S24" s="14">
        <f t="shared" si="9"/>
        <v>1404</v>
      </c>
      <c r="T24" s="14">
        <f t="shared" si="9"/>
        <v>999</v>
      </c>
      <c r="U24" s="15">
        <f t="shared" si="10"/>
        <v>135</v>
      </c>
      <c r="V24" s="15">
        <f t="shared" si="10"/>
        <v>270</v>
      </c>
      <c r="W24" s="15">
        <f t="shared" si="10"/>
        <v>0</v>
      </c>
      <c r="X24" s="15">
        <f t="shared" si="10"/>
        <v>162</v>
      </c>
      <c r="Y24" s="15">
        <f t="shared" si="10"/>
        <v>27</v>
      </c>
      <c r="Z24" s="16">
        <f t="shared" si="11"/>
        <v>1485</v>
      </c>
      <c r="AA24" s="16">
        <f t="shared" si="11"/>
        <v>1890</v>
      </c>
      <c r="AB24" s="16">
        <f t="shared" si="11"/>
        <v>1080</v>
      </c>
      <c r="AC24" s="16">
        <f t="shared" si="11"/>
        <v>1566</v>
      </c>
      <c r="AD24" s="16">
        <f t="shared" si="11"/>
        <v>1026</v>
      </c>
    </row>
    <row r="25" spans="1:30" x14ac:dyDescent="0.25">
      <c r="A25" s="12" t="s">
        <v>71</v>
      </c>
      <c r="B25" t="s">
        <v>72</v>
      </c>
      <c r="C25" t="s">
        <v>73</v>
      </c>
      <c r="E25" s="17">
        <v>28</v>
      </c>
      <c r="F25" s="18">
        <v>23</v>
      </c>
      <c r="G25">
        <v>61</v>
      </c>
      <c r="H25">
        <v>41</v>
      </c>
      <c r="I25">
        <v>53</v>
      </c>
      <c r="J25">
        <v>37</v>
      </c>
      <c r="K25" s="13">
        <f t="shared" si="8"/>
        <v>0</v>
      </c>
      <c r="L25" s="13">
        <f t="shared" si="8"/>
        <v>21</v>
      </c>
      <c r="M25" s="13">
        <f t="shared" si="8"/>
        <v>1</v>
      </c>
      <c r="N25" s="13">
        <f t="shared" si="8"/>
        <v>13</v>
      </c>
      <c r="O25" s="13">
        <v>2</v>
      </c>
      <c r="P25" s="14">
        <f t="shared" si="9"/>
        <v>644</v>
      </c>
      <c r="Q25" s="14">
        <f t="shared" si="9"/>
        <v>1708</v>
      </c>
      <c r="R25" s="14">
        <f t="shared" si="9"/>
        <v>1148</v>
      </c>
      <c r="S25" s="14">
        <f t="shared" si="9"/>
        <v>1484</v>
      </c>
      <c r="T25" s="14">
        <f t="shared" si="9"/>
        <v>1036</v>
      </c>
      <c r="U25" s="15">
        <f t="shared" si="10"/>
        <v>0</v>
      </c>
      <c r="V25" s="15">
        <f t="shared" si="10"/>
        <v>294</v>
      </c>
      <c r="W25" s="15">
        <f t="shared" si="10"/>
        <v>14</v>
      </c>
      <c r="X25" s="15">
        <f t="shared" si="10"/>
        <v>182</v>
      </c>
      <c r="Y25" s="15">
        <f t="shared" si="10"/>
        <v>28</v>
      </c>
      <c r="Z25" s="16">
        <f t="shared" si="11"/>
        <v>644</v>
      </c>
      <c r="AA25" s="16">
        <f t="shared" si="11"/>
        <v>2002</v>
      </c>
      <c r="AB25" s="16">
        <f t="shared" si="11"/>
        <v>1162</v>
      </c>
      <c r="AC25" s="16">
        <f t="shared" si="11"/>
        <v>1666</v>
      </c>
      <c r="AD25" s="16">
        <f t="shared" si="11"/>
        <v>1064</v>
      </c>
    </row>
    <row r="26" spans="1:30" x14ac:dyDescent="0.25">
      <c r="A26" s="12" t="s">
        <v>74</v>
      </c>
      <c r="B26" t="s">
        <v>75</v>
      </c>
      <c r="C26" t="s">
        <v>76</v>
      </c>
      <c r="E26" s="17">
        <v>29</v>
      </c>
      <c r="F26" s="18">
        <v>26</v>
      </c>
      <c r="G26">
        <v>62</v>
      </c>
      <c r="H26">
        <v>42</v>
      </c>
      <c r="I26">
        <v>54</v>
      </c>
      <c r="J26">
        <v>37</v>
      </c>
      <c r="K26" s="13">
        <f t="shared" si="8"/>
        <v>0</v>
      </c>
      <c r="L26" s="13">
        <f t="shared" si="8"/>
        <v>22</v>
      </c>
      <c r="M26" s="13">
        <f t="shared" si="8"/>
        <v>2</v>
      </c>
      <c r="N26" s="13">
        <f t="shared" si="8"/>
        <v>14</v>
      </c>
      <c r="O26" s="13">
        <v>2</v>
      </c>
      <c r="P26" s="14">
        <f t="shared" si="9"/>
        <v>754</v>
      </c>
      <c r="Q26" s="14">
        <f t="shared" si="9"/>
        <v>1798</v>
      </c>
      <c r="R26" s="14">
        <f t="shared" si="9"/>
        <v>1218</v>
      </c>
      <c r="S26" s="14">
        <f t="shared" si="9"/>
        <v>1566</v>
      </c>
      <c r="T26" s="14">
        <f t="shared" si="9"/>
        <v>1073</v>
      </c>
      <c r="U26" s="15">
        <f t="shared" si="10"/>
        <v>0</v>
      </c>
      <c r="V26" s="15">
        <f t="shared" si="10"/>
        <v>319</v>
      </c>
      <c r="W26" s="15">
        <f t="shared" si="10"/>
        <v>29</v>
      </c>
      <c r="X26" s="15">
        <f t="shared" si="10"/>
        <v>203</v>
      </c>
      <c r="Y26" s="15">
        <f t="shared" si="10"/>
        <v>29</v>
      </c>
      <c r="Z26" s="16">
        <f t="shared" si="11"/>
        <v>754</v>
      </c>
      <c r="AA26" s="16">
        <f t="shared" si="11"/>
        <v>2117</v>
      </c>
      <c r="AB26" s="16">
        <f t="shared" si="11"/>
        <v>1247</v>
      </c>
      <c r="AC26" s="16">
        <f t="shared" si="11"/>
        <v>1769</v>
      </c>
      <c r="AD26" s="16">
        <f t="shared" si="11"/>
        <v>1102</v>
      </c>
    </row>
    <row r="27" spans="1:30" x14ac:dyDescent="0.25">
      <c r="A27" s="12" t="s">
        <v>77</v>
      </c>
      <c r="B27" t="s">
        <v>78</v>
      </c>
      <c r="C27" t="s">
        <v>79</v>
      </c>
      <c r="E27" s="17">
        <v>40</v>
      </c>
      <c r="F27" s="18">
        <v>60</v>
      </c>
      <c r="G27">
        <v>63</v>
      </c>
      <c r="H27">
        <v>43</v>
      </c>
      <c r="I27">
        <v>55</v>
      </c>
      <c r="J27">
        <v>37</v>
      </c>
      <c r="K27" s="13">
        <f t="shared" si="8"/>
        <v>20</v>
      </c>
      <c r="L27" s="13">
        <f t="shared" si="8"/>
        <v>23</v>
      </c>
      <c r="M27" s="13">
        <f t="shared" si="8"/>
        <v>3</v>
      </c>
      <c r="N27" s="13">
        <f t="shared" si="8"/>
        <v>15</v>
      </c>
      <c r="O27" s="13">
        <v>2</v>
      </c>
      <c r="P27" s="14">
        <f t="shared" si="9"/>
        <v>2400</v>
      </c>
      <c r="Q27" s="14">
        <f t="shared" si="9"/>
        <v>2520</v>
      </c>
      <c r="R27" s="14">
        <f t="shared" si="9"/>
        <v>1720</v>
      </c>
      <c r="S27" s="14">
        <f t="shared" si="9"/>
        <v>2200</v>
      </c>
      <c r="T27" s="14">
        <f t="shared" si="9"/>
        <v>1480</v>
      </c>
      <c r="U27" s="15">
        <f t="shared" si="10"/>
        <v>400</v>
      </c>
      <c r="V27" s="15">
        <f t="shared" si="10"/>
        <v>460</v>
      </c>
      <c r="W27" s="15">
        <f t="shared" si="10"/>
        <v>60</v>
      </c>
      <c r="X27" s="15">
        <f t="shared" si="10"/>
        <v>300</v>
      </c>
      <c r="Y27" s="15">
        <f t="shared" si="10"/>
        <v>40</v>
      </c>
      <c r="Z27" s="16">
        <f t="shared" si="11"/>
        <v>2800</v>
      </c>
      <c r="AA27" s="16">
        <f t="shared" si="11"/>
        <v>2980</v>
      </c>
      <c r="AB27" s="16">
        <f t="shared" si="11"/>
        <v>1780</v>
      </c>
      <c r="AC27" s="16">
        <f t="shared" si="11"/>
        <v>2500</v>
      </c>
      <c r="AD27" s="16">
        <f t="shared" si="11"/>
        <v>1520</v>
      </c>
    </row>
    <row r="28" spans="1:30" x14ac:dyDescent="0.25">
      <c r="A28" s="12" t="s">
        <v>80</v>
      </c>
      <c r="B28" t="s">
        <v>81</v>
      </c>
      <c r="C28" t="s">
        <v>82</v>
      </c>
      <c r="E28" s="17">
        <v>73</v>
      </c>
      <c r="F28" s="19">
        <v>44.266666666666701</v>
      </c>
      <c r="G28">
        <v>64</v>
      </c>
      <c r="H28">
        <v>44</v>
      </c>
      <c r="I28">
        <v>56</v>
      </c>
      <c r="J28">
        <v>37</v>
      </c>
      <c r="K28" s="13">
        <f t="shared" si="8"/>
        <v>4.2666666666667012</v>
      </c>
      <c r="L28" s="13">
        <f t="shared" si="8"/>
        <v>24</v>
      </c>
      <c r="M28" s="13">
        <f t="shared" si="8"/>
        <v>4</v>
      </c>
      <c r="N28" s="13">
        <f t="shared" si="8"/>
        <v>16</v>
      </c>
      <c r="O28" s="13">
        <v>2</v>
      </c>
      <c r="P28" s="14">
        <f t="shared" si="9"/>
        <v>3231.466666666669</v>
      </c>
      <c r="Q28" s="14">
        <f t="shared" si="9"/>
        <v>4672</v>
      </c>
      <c r="R28" s="14">
        <f t="shared" si="9"/>
        <v>3212</v>
      </c>
      <c r="S28" s="14">
        <f t="shared" si="9"/>
        <v>4088</v>
      </c>
      <c r="T28" s="14">
        <f t="shared" si="9"/>
        <v>2701</v>
      </c>
      <c r="U28" s="15">
        <f t="shared" si="10"/>
        <v>155.7333333333346</v>
      </c>
      <c r="V28" s="15">
        <f t="shared" si="10"/>
        <v>876</v>
      </c>
      <c r="W28" s="15">
        <f t="shared" si="10"/>
        <v>146</v>
      </c>
      <c r="X28" s="15">
        <f t="shared" si="10"/>
        <v>584</v>
      </c>
      <c r="Y28" s="15">
        <f t="shared" si="10"/>
        <v>73</v>
      </c>
      <c r="Z28" s="16">
        <f t="shared" si="11"/>
        <v>3387.2000000000035</v>
      </c>
      <c r="AA28" s="16">
        <f t="shared" si="11"/>
        <v>5548</v>
      </c>
      <c r="AB28" s="16">
        <f t="shared" si="11"/>
        <v>3358</v>
      </c>
      <c r="AC28" s="16">
        <f t="shared" si="11"/>
        <v>4672</v>
      </c>
      <c r="AD28" s="16">
        <f t="shared" si="11"/>
        <v>2774</v>
      </c>
    </row>
    <row r="29" spans="1:30" x14ac:dyDescent="0.25">
      <c r="A29" s="12" t="s">
        <v>83</v>
      </c>
      <c r="B29" t="s">
        <v>84</v>
      </c>
      <c r="C29" t="s">
        <v>85</v>
      </c>
      <c r="E29" s="17">
        <v>74</v>
      </c>
      <c r="F29" s="19">
        <v>46.009523809523799</v>
      </c>
      <c r="G29">
        <v>65</v>
      </c>
      <c r="H29">
        <v>45</v>
      </c>
      <c r="I29">
        <v>57</v>
      </c>
      <c r="J29">
        <v>37</v>
      </c>
      <c r="K29" s="13">
        <f t="shared" si="8"/>
        <v>6.0095238095237988</v>
      </c>
      <c r="L29" s="13">
        <f t="shared" si="8"/>
        <v>25</v>
      </c>
      <c r="M29" s="13">
        <f t="shared" si="8"/>
        <v>5</v>
      </c>
      <c r="N29" s="13">
        <f t="shared" si="8"/>
        <v>17</v>
      </c>
      <c r="O29" s="13">
        <v>2</v>
      </c>
      <c r="P29" s="14">
        <f t="shared" si="9"/>
        <v>3404.7047619047612</v>
      </c>
      <c r="Q29" s="14">
        <f t="shared" si="9"/>
        <v>4810</v>
      </c>
      <c r="R29" s="14">
        <f t="shared" si="9"/>
        <v>3330</v>
      </c>
      <c r="S29" s="14">
        <f t="shared" si="9"/>
        <v>4218</v>
      </c>
      <c r="T29" s="14">
        <f t="shared" si="9"/>
        <v>2738</v>
      </c>
      <c r="U29" s="15">
        <f t="shared" si="10"/>
        <v>222.35238095238054</v>
      </c>
      <c r="V29" s="15">
        <f t="shared" si="10"/>
        <v>925</v>
      </c>
      <c r="W29" s="15">
        <f t="shared" si="10"/>
        <v>185</v>
      </c>
      <c r="X29" s="15">
        <f t="shared" si="10"/>
        <v>629</v>
      </c>
      <c r="Y29" s="15">
        <f t="shared" si="10"/>
        <v>74</v>
      </c>
      <c r="Z29" s="16">
        <f t="shared" si="11"/>
        <v>3627.0571428571416</v>
      </c>
      <c r="AA29" s="16">
        <f t="shared" si="11"/>
        <v>5735</v>
      </c>
      <c r="AB29" s="16">
        <f t="shared" si="11"/>
        <v>3515</v>
      </c>
      <c r="AC29" s="16">
        <f t="shared" si="11"/>
        <v>4847</v>
      </c>
      <c r="AD29" s="16">
        <f t="shared" si="11"/>
        <v>2812</v>
      </c>
    </row>
    <row r="30" spans="1:30" x14ac:dyDescent="0.25">
      <c r="A30" s="12" t="s">
        <v>86</v>
      </c>
      <c r="B30" t="s">
        <v>87</v>
      </c>
      <c r="C30" t="s">
        <v>88</v>
      </c>
      <c r="E30" s="17">
        <v>75</v>
      </c>
      <c r="F30" s="19">
        <v>47.752380952381003</v>
      </c>
      <c r="G30">
        <v>66</v>
      </c>
      <c r="H30">
        <v>46</v>
      </c>
      <c r="I30">
        <v>58</v>
      </c>
      <c r="J30">
        <v>37</v>
      </c>
      <c r="K30" s="13">
        <f t="shared" si="8"/>
        <v>7.752380952381003</v>
      </c>
      <c r="L30" s="13">
        <f t="shared" si="8"/>
        <v>26</v>
      </c>
      <c r="M30" s="13">
        <f t="shared" si="8"/>
        <v>6</v>
      </c>
      <c r="N30" s="13">
        <f t="shared" si="8"/>
        <v>18</v>
      </c>
      <c r="O30" s="13">
        <v>2</v>
      </c>
      <c r="P30" s="14">
        <f t="shared" si="9"/>
        <v>3581.4285714285752</v>
      </c>
      <c r="Q30" s="14">
        <f t="shared" si="9"/>
        <v>4950</v>
      </c>
      <c r="R30" s="14">
        <f t="shared" si="9"/>
        <v>3450</v>
      </c>
      <c r="S30" s="14">
        <f t="shared" si="9"/>
        <v>4350</v>
      </c>
      <c r="T30" s="14">
        <f t="shared" si="9"/>
        <v>2775</v>
      </c>
      <c r="U30" s="15">
        <f t="shared" si="10"/>
        <v>290.7142857142876</v>
      </c>
      <c r="V30" s="15">
        <f t="shared" si="10"/>
        <v>975</v>
      </c>
      <c r="W30" s="15">
        <f t="shared" si="10"/>
        <v>225</v>
      </c>
      <c r="X30" s="15">
        <f t="shared" si="10"/>
        <v>675</v>
      </c>
      <c r="Y30" s="15">
        <f t="shared" si="10"/>
        <v>75</v>
      </c>
      <c r="Z30" s="16">
        <f t="shared" si="11"/>
        <v>3872.1428571428628</v>
      </c>
      <c r="AA30" s="16">
        <f t="shared" si="11"/>
        <v>5925</v>
      </c>
      <c r="AB30" s="16">
        <f t="shared" si="11"/>
        <v>3675</v>
      </c>
      <c r="AC30" s="16">
        <f t="shared" si="11"/>
        <v>5025</v>
      </c>
      <c r="AD30" s="16">
        <f t="shared" si="11"/>
        <v>2850</v>
      </c>
    </row>
    <row r="31" spans="1:30" x14ac:dyDescent="0.25">
      <c r="A31" s="12" t="s">
        <v>89</v>
      </c>
      <c r="B31" t="s">
        <v>90</v>
      </c>
      <c r="C31" t="s">
        <v>91</v>
      </c>
      <c r="E31" s="17">
        <v>76</v>
      </c>
      <c r="F31" s="19">
        <v>49.495238095238101</v>
      </c>
      <c r="G31">
        <v>67</v>
      </c>
      <c r="H31">
        <v>47</v>
      </c>
      <c r="I31">
        <v>59</v>
      </c>
      <c r="J31">
        <v>37</v>
      </c>
      <c r="K31" s="13">
        <f t="shared" si="8"/>
        <v>9.4952380952381006</v>
      </c>
      <c r="L31" s="13">
        <f t="shared" si="8"/>
        <v>27</v>
      </c>
      <c r="M31" s="13">
        <f t="shared" si="8"/>
        <v>7</v>
      </c>
      <c r="N31" s="13">
        <f t="shared" si="8"/>
        <v>19</v>
      </c>
      <c r="O31" s="13">
        <v>2</v>
      </c>
      <c r="P31" s="14">
        <f t="shared" si="9"/>
        <v>3761.6380952380955</v>
      </c>
      <c r="Q31" s="14">
        <f t="shared" si="9"/>
        <v>5092</v>
      </c>
      <c r="R31" s="14">
        <f t="shared" si="9"/>
        <v>3572</v>
      </c>
      <c r="S31" s="14">
        <f t="shared" si="9"/>
        <v>4484</v>
      </c>
      <c r="T31" s="14">
        <f t="shared" si="9"/>
        <v>2812</v>
      </c>
      <c r="U31" s="15">
        <f t="shared" si="10"/>
        <v>360.81904761904781</v>
      </c>
      <c r="V31" s="15">
        <f t="shared" si="10"/>
        <v>1026</v>
      </c>
      <c r="W31" s="15">
        <f t="shared" si="10"/>
        <v>266</v>
      </c>
      <c r="X31" s="15">
        <f t="shared" si="10"/>
        <v>722</v>
      </c>
      <c r="Y31" s="15">
        <f t="shared" si="10"/>
        <v>76</v>
      </c>
      <c r="Z31" s="16">
        <f t="shared" si="11"/>
        <v>4122.4571428571435</v>
      </c>
      <c r="AA31" s="16">
        <f t="shared" si="11"/>
        <v>6118</v>
      </c>
      <c r="AB31" s="16">
        <f t="shared" si="11"/>
        <v>3838</v>
      </c>
      <c r="AC31" s="16">
        <f t="shared" si="11"/>
        <v>5206</v>
      </c>
      <c r="AD31" s="16">
        <f t="shared" si="11"/>
        <v>2888</v>
      </c>
    </row>
    <row r="32" spans="1:30" x14ac:dyDescent="0.25">
      <c r="A32" s="12" t="s">
        <v>92</v>
      </c>
      <c r="B32" t="s">
        <v>93</v>
      </c>
      <c r="C32" t="s">
        <v>94</v>
      </c>
      <c r="E32" s="17">
        <v>77</v>
      </c>
      <c r="F32" s="18">
        <v>10</v>
      </c>
      <c r="G32">
        <v>68</v>
      </c>
      <c r="H32">
        <v>48</v>
      </c>
      <c r="I32">
        <v>60</v>
      </c>
      <c r="J32">
        <v>37</v>
      </c>
      <c r="K32" s="13">
        <f t="shared" si="8"/>
        <v>0</v>
      </c>
      <c r="L32" s="13">
        <f t="shared" si="8"/>
        <v>28</v>
      </c>
      <c r="M32" s="13">
        <f t="shared" si="8"/>
        <v>8</v>
      </c>
      <c r="N32" s="13">
        <f t="shared" si="8"/>
        <v>20</v>
      </c>
      <c r="O32" s="13">
        <v>2</v>
      </c>
      <c r="P32" s="14">
        <f t="shared" si="9"/>
        <v>770</v>
      </c>
      <c r="Q32" s="14">
        <f t="shared" si="9"/>
        <v>5236</v>
      </c>
      <c r="R32" s="14">
        <f t="shared" si="9"/>
        <v>3696</v>
      </c>
      <c r="S32" s="14">
        <f t="shared" si="9"/>
        <v>4620</v>
      </c>
      <c r="T32" s="14">
        <f t="shared" si="9"/>
        <v>2849</v>
      </c>
      <c r="U32" s="15">
        <f t="shared" si="10"/>
        <v>0</v>
      </c>
      <c r="V32" s="15">
        <f t="shared" si="10"/>
        <v>1078</v>
      </c>
      <c r="W32" s="15">
        <f t="shared" si="10"/>
        <v>308</v>
      </c>
      <c r="X32" s="15">
        <f t="shared" si="10"/>
        <v>770</v>
      </c>
      <c r="Y32" s="15">
        <f t="shared" si="10"/>
        <v>77</v>
      </c>
      <c r="Z32" s="16">
        <f t="shared" si="11"/>
        <v>770</v>
      </c>
      <c r="AA32" s="16">
        <f t="shared" si="11"/>
        <v>6314</v>
      </c>
      <c r="AB32" s="16">
        <f t="shared" si="11"/>
        <v>4004</v>
      </c>
      <c r="AC32" s="16">
        <f t="shared" si="11"/>
        <v>5390</v>
      </c>
      <c r="AD32" s="16">
        <f t="shared" si="11"/>
        <v>2926</v>
      </c>
    </row>
    <row r="33" spans="1:30" x14ac:dyDescent="0.25">
      <c r="A33" s="12" t="s">
        <v>95</v>
      </c>
      <c r="B33" t="s">
        <v>96</v>
      </c>
      <c r="C33" t="s">
        <v>97</v>
      </c>
      <c r="E33" s="17">
        <v>78</v>
      </c>
      <c r="F33" s="18">
        <v>12</v>
      </c>
      <c r="G33">
        <v>69</v>
      </c>
      <c r="H33">
        <v>49</v>
      </c>
      <c r="I33">
        <v>61</v>
      </c>
      <c r="J33">
        <v>37</v>
      </c>
      <c r="K33" s="13">
        <f t="shared" si="8"/>
        <v>0</v>
      </c>
      <c r="L33" s="13">
        <f t="shared" si="8"/>
        <v>29</v>
      </c>
      <c r="M33" s="13">
        <f t="shared" si="8"/>
        <v>9</v>
      </c>
      <c r="N33" s="13">
        <f t="shared" si="8"/>
        <v>21</v>
      </c>
      <c r="O33" s="13">
        <v>2</v>
      </c>
      <c r="P33" s="14">
        <f t="shared" si="9"/>
        <v>936</v>
      </c>
      <c r="Q33" s="14">
        <f t="shared" si="9"/>
        <v>5382</v>
      </c>
      <c r="R33" s="14">
        <f t="shared" si="9"/>
        <v>3822</v>
      </c>
      <c r="S33" s="14">
        <f t="shared" si="9"/>
        <v>4758</v>
      </c>
      <c r="T33" s="14">
        <f t="shared" si="9"/>
        <v>2886</v>
      </c>
      <c r="U33" s="15">
        <f t="shared" si="10"/>
        <v>0</v>
      </c>
      <c r="V33" s="15">
        <f t="shared" si="10"/>
        <v>1131</v>
      </c>
      <c r="W33" s="15">
        <f t="shared" si="10"/>
        <v>351</v>
      </c>
      <c r="X33" s="15">
        <f t="shared" si="10"/>
        <v>819</v>
      </c>
      <c r="Y33" s="15">
        <f t="shared" si="10"/>
        <v>78</v>
      </c>
      <c r="Z33" s="16">
        <f t="shared" si="11"/>
        <v>936</v>
      </c>
      <c r="AA33" s="16">
        <f t="shared" si="11"/>
        <v>6513</v>
      </c>
      <c r="AB33" s="16">
        <f t="shared" si="11"/>
        <v>4173</v>
      </c>
      <c r="AC33" s="16">
        <f t="shared" si="11"/>
        <v>5577</v>
      </c>
      <c r="AD33" s="16">
        <f t="shared" si="11"/>
        <v>2964</v>
      </c>
    </row>
    <row r="34" spans="1:30" x14ac:dyDescent="0.25">
      <c r="A34" s="12" t="s">
        <v>98</v>
      </c>
      <c r="B34" t="s">
        <v>99</v>
      </c>
      <c r="C34" t="s">
        <v>100</v>
      </c>
      <c r="E34" s="17">
        <v>79</v>
      </c>
      <c r="F34" s="18">
        <v>14</v>
      </c>
      <c r="G34">
        <v>70</v>
      </c>
      <c r="H34">
        <v>50</v>
      </c>
      <c r="I34">
        <v>62</v>
      </c>
      <c r="J34">
        <v>37</v>
      </c>
      <c r="K34" s="13">
        <f t="shared" si="8"/>
        <v>0</v>
      </c>
      <c r="L34" s="13">
        <f t="shared" si="8"/>
        <v>30</v>
      </c>
      <c r="M34" s="13">
        <f t="shared" si="8"/>
        <v>10</v>
      </c>
      <c r="N34" s="13">
        <f t="shared" si="8"/>
        <v>22</v>
      </c>
      <c r="O34" s="13">
        <v>2</v>
      </c>
      <c r="P34" s="14">
        <f t="shared" si="9"/>
        <v>1106</v>
      </c>
      <c r="Q34" s="14">
        <f t="shared" si="9"/>
        <v>5530</v>
      </c>
      <c r="R34" s="14">
        <f t="shared" si="9"/>
        <v>3950</v>
      </c>
      <c r="S34" s="14">
        <f t="shared" si="9"/>
        <v>4898</v>
      </c>
      <c r="T34" s="14">
        <f t="shared" si="9"/>
        <v>2923</v>
      </c>
      <c r="U34" s="15">
        <f t="shared" si="10"/>
        <v>0</v>
      </c>
      <c r="V34" s="15">
        <f t="shared" si="10"/>
        <v>1185</v>
      </c>
      <c r="W34" s="15">
        <f t="shared" si="10"/>
        <v>395</v>
      </c>
      <c r="X34" s="15">
        <f t="shared" si="10"/>
        <v>869</v>
      </c>
      <c r="Y34" s="15">
        <f t="shared" si="10"/>
        <v>79</v>
      </c>
      <c r="Z34" s="16">
        <f t="shared" si="11"/>
        <v>1106</v>
      </c>
      <c r="AA34" s="16">
        <f t="shared" si="11"/>
        <v>6715</v>
      </c>
      <c r="AB34" s="16">
        <f t="shared" si="11"/>
        <v>4345</v>
      </c>
      <c r="AC34" s="16">
        <f t="shared" si="11"/>
        <v>5767</v>
      </c>
      <c r="AD34" s="16">
        <f t="shared" si="11"/>
        <v>3002</v>
      </c>
    </row>
    <row r="35" spans="1:30" x14ac:dyDescent="0.25">
      <c r="A35" s="12" t="s">
        <v>101</v>
      </c>
      <c r="B35" t="s">
        <v>102</v>
      </c>
      <c r="C35" t="s">
        <v>103</v>
      </c>
      <c r="E35" s="17">
        <v>80</v>
      </c>
      <c r="F35" s="18">
        <v>10</v>
      </c>
      <c r="G35">
        <v>71</v>
      </c>
      <c r="H35">
        <v>51</v>
      </c>
      <c r="I35">
        <v>63</v>
      </c>
      <c r="J35">
        <v>37</v>
      </c>
      <c r="K35" s="13">
        <f t="shared" si="8"/>
        <v>0</v>
      </c>
      <c r="L35" s="13">
        <f t="shared" si="8"/>
        <v>31</v>
      </c>
      <c r="M35" s="13">
        <f t="shared" si="8"/>
        <v>11</v>
      </c>
      <c r="N35" s="13">
        <f t="shared" si="8"/>
        <v>23</v>
      </c>
      <c r="O35" s="13">
        <v>2</v>
      </c>
      <c r="P35" s="14">
        <f t="shared" si="9"/>
        <v>800</v>
      </c>
      <c r="Q35" s="14">
        <f t="shared" si="9"/>
        <v>5680</v>
      </c>
      <c r="R35" s="14">
        <f t="shared" si="9"/>
        <v>4080</v>
      </c>
      <c r="S35" s="14">
        <f t="shared" si="9"/>
        <v>5040</v>
      </c>
      <c r="T35" s="14">
        <f t="shared" si="9"/>
        <v>2960</v>
      </c>
      <c r="U35" s="15">
        <f t="shared" si="10"/>
        <v>0</v>
      </c>
      <c r="V35" s="15">
        <f t="shared" si="10"/>
        <v>1240</v>
      </c>
      <c r="W35" s="15">
        <f t="shared" si="10"/>
        <v>440</v>
      </c>
      <c r="X35" s="15">
        <f t="shared" si="10"/>
        <v>920</v>
      </c>
      <c r="Y35" s="15">
        <f t="shared" si="10"/>
        <v>80</v>
      </c>
      <c r="Z35" s="16">
        <f t="shared" si="11"/>
        <v>800</v>
      </c>
      <c r="AA35" s="16">
        <f t="shared" si="11"/>
        <v>6920</v>
      </c>
      <c r="AB35" s="16">
        <f t="shared" si="11"/>
        <v>4520</v>
      </c>
      <c r="AC35" s="16">
        <f t="shared" si="11"/>
        <v>5960</v>
      </c>
      <c r="AD35" s="16">
        <f t="shared" si="11"/>
        <v>3040</v>
      </c>
    </row>
    <row r="36" spans="1:30" x14ac:dyDescent="0.25">
      <c r="A36" s="12" t="s">
        <v>104</v>
      </c>
      <c r="B36" t="s">
        <v>105</v>
      </c>
      <c r="C36" t="s">
        <v>106</v>
      </c>
      <c r="E36" s="17">
        <v>81</v>
      </c>
      <c r="F36" s="18">
        <v>7</v>
      </c>
      <c r="G36">
        <v>72</v>
      </c>
      <c r="H36">
        <v>52</v>
      </c>
      <c r="I36">
        <v>64</v>
      </c>
      <c r="J36">
        <v>37</v>
      </c>
      <c r="K36" s="13">
        <f t="shared" si="8"/>
        <v>0</v>
      </c>
      <c r="L36" s="13">
        <f t="shared" si="8"/>
        <v>32</v>
      </c>
      <c r="M36" s="13">
        <f t="shared" si="8"/>
        <v>12</v>
      </c>
      <c r="N36" s="13">
        <f t="shared" si="8"/>
        <v>24</v>
      </c>
      <c r="O36" s="13">
        <v>2</v>
      </c>
      <c r="P36" s="14">
        <f t="shared" si="9"/>
        <v>567</v>
      </c>
      <c r="Q36" s="14">
        <f t="shared" si="9"/>
        <v>5832</v>
      </c>
      <c r="R36" s="14">
        <f t="shared" si="9"/>
        <v>4212</v>
      </c>
      <c r="S36" s="14">
        <f t="shared" si="9"/>
        <v>5184</v>
      </c>
      <c r="T36" s="14">
        <f t="shared" si="9"/>
        <v>2997</v>
      </c>
      <c r="U36" s="15">
        <f t="shared" si="10"/>
        <v>0</v>
      </c>
      <c r="V36" s="15">
        <f t="shared" si="10"/>
        <v>1296</v>
      </c>
      <c r="W36" s="15">
        <f t="shared" si="10"/>
        <v>486</v>
      </c>
      <c r="X36" s="15">
        <f t="shared" si="10"/>
        <v>972</v>
      </c>
      <c r="Y36" s="15">
        <f t="shared" si="10"/>
        <v>81</v>
      </c>
      <c r="Z36" s="16">
        <f t="shared" si="11"/>
        <v>567</v>
      </c>
      <c r="AA36" s="16">
        <f t="shared" si="11"/>
        <v>7128</v>
      </c>
      <c r="AB36" s="16">
        <f t="shared" si="11"/>
        <v>4698</v>
      </c>
      <c r="AC36" s="16">
        <f t="shared" si="11"/>
        <v>6156</v>
      </c>
      <c r="AD36" s="16">
        <f t="shared" si="11"/>
        <v>3078</v>
      </c>
    </row>
    <row r="37" spans="1:30" x14ac:dyDescent="0.25">
      <c r="A37" s="12" t="s">
        <v>107</v>
      </c>
      <c r="B37" t="s">
        <v>108</v>
      </c>
      <c r="C37" t="s">
        <v>109</v>
      </c>
      <c r="E37" s="17">
        <v>82</v>
      </c>
      <c r="F37" s="18">
        <v>39</v>
      </c>
      <c r="G37">
        <v>73</v>
      </c>
      <c r="H37">
        <v>53</v>
      </c>
      <c r="I37">
        <v>65</v>
      </c>
      <c r="J37">
        <v>37</v>
      </c>
      <c r="K37" s="13">
        <f t="shared" si="8"/>
        <v>0</v>
      </c>
      <c r="L37" s="13">
        <f t="shared" si="8"/>
        <v>33</v>
      </c>
      <c r="M37" s="13">
        <f t="shared" si="8"/>
        <v>13</v>
      </c>
      <c r="N37" s="13">
        <f t="shared" si="8"/>
        <v>25</v>
      </c>
      <c r="O37" s="13">
        <v>2</v>
      </c>
      <c r="P37" s="14">
        <f t="shared" si="9"/>
        <v>3198</v>
      </c>
      <c r="Q37" s="14">
        <f t="shared" si="9"/>
        <v>5986</v>
      </c>
      <c r="R37" s="14">
        <f t="shared" si="9"/>
        <v>4346</v>
      </c>
      <c r="S37" s="14">
        <f t="shared" si="9"/>
        <v>5330</v>
      </c>
      <c r="T37" s="14">
        <f t="shared" si="9"/>
        <v>3034</v>
      </c>
      <c r="U37" s="15">
        <f t="shared" si="10"/>
        <v>0</v>
      </c>
      <c r="V37" s="15">
        <f t="shared" si="10"/>
        <v>1353</v>
      </c>
      <c r="W37" s="15">
        <f t="shared" si="10"/>
        <v>533</v>
      </c>
      <c r="X37" s="15">
        <f t="shared" si="10"/>
        <v>1025</v>
      </c>
      <c r="Y37" s="15">
        <f t="shared" si="10"/>
        <v>82</v>
      </c>
      <c r="Z37" s="16">
        <f t="shared" si="11"/>
        <v>3198</v>
      </c>
      <c r="AA37" s="16">
        <f t="shared" si="11"/>
        <v>7339</v>
      </c>
      <c r="AB37" s="16">
        <f t="shared" si="11"/>
        <v>4879</v>
      </c>
      <c r="AC37" s="16">
        <f t="shared" si="11"/>
        <v>6355</v>
      </c>
      <c r="AD37" s="16">
        <f t="shared" si="11"/>
        <v>3116</v>
      </c>
    </row>
    <row r="38" spans="1:30" x14ac:dyDescent="0.25">
      <c r="A38" s="12" t="s">
        <v>110</v>
      </c>
      <c r="B38" t="s">
        <v>111</v>
      </c>
      <c r="C38" t="s">
        <v>112</v>
      </c>
      <c r="E38" s="17">
        <v>83</v>
      </c>
      <c r="F38" s="19">
        <v>27.933333333333302</v>
      </c>
      <c r="G38">
        <v>74</v>
      </c>
      <c r="H38">
        <v>54</v>
      </c>
      <c r="I38">
        <v>66</v>
      </c>
      <c r="J38">
        <v>37</v>
      </c>
      <c r="K38" s="13">
        <f t="shared" si="8"/>
        <v>0</v>
      </c>
      <c r="L38" s="13">
        <f t="shared" si="8"/>
        <v>34</v>
      </c>
      <c r="M38" s="13">
        <f t="shared" si="8"/>
        <v>14</v>
      </c>
      <c r="N38" s="13">
        <f t="shared" si="8"/>
        <v>26</v>
      </c>
      <c r="O38" s="13">
        <v>2</v>
      </c>
      <c r="P38" s="14">
        <f t="shared" si="9"/>
        <v>2318.466666666664</v>
      </c>
      <c r="Q38" s="14">
        <f t="shared" si="9"/>
        <v>6142</v>
      </c>
      <c r="R38" s="14">
        <f t="shared" si="9"/>
        <v>4482</v>
      </c>
      <c r="S38" s="14">
        <f t="shared" si="9"/>
        <v>5478</v>
      </c>
      <c r="T38" s="14">
        <f t="shared" si="9"/>
        <v>3071</v>
      </c>
      <c r="U38" s="15">
        <f t="shared" si="10"/>
        <v>0</v>
      </c>
      <c r="V38" s="15">
        <f t="shared" si="10"/>
        <v>1411</v>
      </c>
      <c r="W38" s="15">
        <f t="shared" si="10"/>
        <v>581</v>
      </c>
      <c r="X38" s="15">
        <f t="shared" si="10"/>
        <v>1079</v>
      </c>
      <c r="Y38" s="15">
        <f t="shared" si="10"/>
        <v>83</v>
      </c>
      <c r="Z38" s="16">
        <f t="shared" si="11"/>
        <v>2318.466666666664</v>
      </c>
      <c r="AA38" s="16">
        <f t="shared" si="11"/>
        <v>7553</v>
      </c>
      <c r="AB38" s="16">
        <f t="shared" si="11"/>
        <v>5063</v>
      </c>
      <c r="AC38" s="16">
        <f t="shared" si="11"/>
        <v>6557</v>
      </c>
      <c r="AD38" s="16">
        <f t="shared" si="11"/>
        <v>3154</v>
      </c>
    </row>
    <row r="39" spans="1:30" x14ac:dyDescent="0.25">
      <c r="A39" s="12" t="s">
        <v>113</v>
      </c>
      <c r="B39" t="s">
        <v>114</v>
      </c>
      <c r="C39" t="s">
        <v>115</v>
      </c>
      <c r="E39" s="17">
        <v>84</v>
      </c>
      <c r="F39" s="19">
        <v>31.533333333333299</v>
      </c>
      <c r="G39">
        <v>75</v>
      </c>
      <c r="H39">
        <v>55</v>
      </c>
      <c r="I39">
        <v>67</v>
      </c>
      <c r="J39">
        <v>37</v>
      </c>
      <c r="K39" s="13">
        <f t="shared" si="8"/>
        <v>0</v>
      </c>
      <c r="L39" s="13">
        <f t="shared" si="8"/>
        <v>35</v>
      </c>
      <c r="M39" s="13">
        <f t="shared" si="8"/>
        <v>15</v>
      </c>
      <c r="N39" s="13">
        <f t="shared" si="8"/>
        <v>27</v>
      </c>
      <c r="O39" s="13">
        <v>2</v>
      </c>
      <c r="P39" s="14">
        <f t="shared" si="9"/>
        <v>2648.799999999997</v>
      </c>
      <c r="Q39" s="14">
        <f t="shared" si="9"/>
        <v>6300</v>
      </c>
      <c r="R39" s="14">
        <f t="shared" si="9"/>
        <v>4620</v>
      </c>
      <c r="S39" s="14">
        <f t="shared" si="9"/>
        <v>5628</v>
      </c>
      <c r="T39" s="14">
        <f t="shared" si="9"/>
        <v>3108</v>
      </c>
      <c r="U39" s="15">
        <f t="shared" si="10"/>
        <v>0</v>
      </c>
      <c r="V39" s="15">
        <f t="shared" si="10"/>
        <v>1470</v>
      </c>
      <c r="W39" s="15">
        <f t="shared" si="10"/>
        <v>630</v>
      </c>
      <c r="X39" s="15">
        <f t="shared" si="10"/>
        <v>1134</v>
      </c>
      <c r="Y39" s="15">
        <f t="shared" si="10"/>
        <v>84</v>
      </c>
      <c r="Z39" s="16">
        <f t="shared" si="11"/>
        <v>2648.799999999997</v>
      </c>
      <c r="AA39" s="16">
        <f t="shared" si="11"/>
        <v>7770</v>
      </c>
      <c r="AB39" s="16">
        <f t="shared" si="11"/>
        <v>5250</v>
      </c>
      <c r="AC39" s="16">
        <f t="shared" si="11"/>
        <v>6762</v>
      </c>
      <c r="AD39" s="16">
        <f t="shared" si="11"/>
        <v>3192</v>
      </c>
    </row>
    <row r="40" spans="1:30" x14ac:dyDescent="0.25">
      <c r="A40" s="12" t="s">
        <v>116</v>
      </c>
      <c r="B40" t="s">
        <v>117</v>
      </c>
      <c r="C40" t="s">
        <v>118</v>
      </c>
      <c r="E40" s="17">
        <v>85</v>
      </c>
      <c r="F40" s="19">
        <v>35.133333333333297</v>
      </c>
      <c r="G40">
        <v>76</v>
      </c>
      <c r="H40">
        <v>56</v>
      </c>
      <c r="I40">
        <v>68</v>
      </c>
      <c r="J40">
        <v>37</v>
      </c>
      <c r="K40" s="13">
        <f t="shared" si="8"/>
        <v>0</v>
      </c>
      <c r="L40" s="13">
        <f t="shared" si="8"/>
        <v>36</v>
      </c>
      <c r="M40" s="13">
        <f t="shared" si="8"/>
        <v>16</v>
      </c>
      <c r="N40" s="13">
        <f t="shared" si="8"/>
        <v>28</v>
      </c>
      <c r="O40" s="13">
        <v>2</v>
      </c>
      <c r="P40" s="14">
        <f t="shared" si="9"/>
        <v>2986.3333333333303</v>
      </c>
      <c r="Q40" s="14">
        <f t="shared" si="9"/>
        <v>6460</v>
      </c>
      <c r="R40" s="14">
        <f t="shared" si="9"/>
        <v>4760</v>
      </c>
      <c r="S40" s="14">
        <f t="shared" si="9"/>
        <v>5780</v>
      </c>
      <c r="T40" s="14">
        <f t="shared" si="9"/>
        <v>3145</v>
      </c>
      <c r="U40" s="15">
        <f t="shared" si="10"/>
        <v>0</v>
      </c>
      <c r="V40" s="15">
        <f t="shared" si="10"/>
        <v>1530</v>
      </c>
      <c r="W40" s="15">
        <f t="shared" si="10"/>
        <v>680</v>
      </c>
      <c r="X40" s="15">
        <f t="shared" si="10"/>
        <v>1190</v>
      </c>
      <c r="Y40" s="15">
        <f t="shared" si="10"/>
        <v>85</v>
      </c>
      <c r="Z40" s="16">
        <f t="shared" si="11"/>
        <v>2986.3333333333303</v>
      </c>
      <c r="AA40" s="16">
        <f t="shared" si="11"/>
        <v>7990</v>
      </c>
      <c r="AB40" s="16">
        <f t="shared" si="11"/>
        <v>5440</v>
      </c>
      <c r="AC40" s="16">
        <f t="shared" si="11"/>
        <v>6970</v>
      </c>
      <c r="AD40" s="16">
        <f t="shared" si="11"/>
        <v>3230</v>
      </c>
    </row>
    <row r="41" spans="1:30" x14ac:dyDescent="0.25">
      <c r="A41" s="12" t="s">
        <v>119</v>
      </c>
      <c r="B41" t="s">
        <v>120</v>
      </c>
      <c r="C41" t="s">
        <v>121</v>
      </c>
      <c r="E41" s="17">
        <v>86</v>
      </c>
      <c r="F41" s="18">
        <v>70</v>
      </c>
      <c r="G41">
        <v>77</v>
      </c>
      <c r="H41">
        <v>57</v>
      </c>
      <c r="I41">
        <v>69</v>
      </c>
      <c r="J41">
        <v>37</v>
      </c>
      <c r="K41" s="13">
        <f t="shared" si="8"/>
        <v>30</v>
      </c>
      <c r="L41" s="13">
        <f t="shared" si="8"/>
        <v>37</v>
      </c>
      <c r="M41" s="13">
        <f t="shared" si="8"/>
        <v>17</v>
      </c>
      <c r="N41" s="13">
        <f t="shared" si="8"/>
        <v>29</v>
      </c>
      <c r="O41" s="13">
        <v>2</v>
      </c>
      <c r="P41" s="14">
        <f t="shared" si="9"/>
        <v>6020</v>
      </c>
      <c r="Q41" s="14">
        <f t="shared" si="9"/>
        <v>6622</v>
      </c>
      <c r="R41" s="14">
        <f t="shared" si="9"/>
        <v>4902</v>
      </c>
      <c r="S41" s="14">
        <f t="shared" si="9"/>
        <v>5934</v>
      </c>
      <c r="T41" s="14">
        <f t="shared" si="9"/>
        <v>3182</v>
      </c>
      <c r="U41" s="15">
        <f t="shared" si="10"/>
        <v>1290</v>
      </c>
      <c r="V41" s="15">
        <f t="shared" si="10"/>
        <v>1591</v>
      </c>
      <c r="W41" s="15">
        <f t="shared" si="10"/>
        <v>731</v>
      </c>
      <c r="X41" s="15">
        <f t="shared" si="10"/>
        <v>1247</v>
      </c>
      <c r="Y41" s="15">
        <f t="shared" si="10"/>
        <v>86</v>
      </c>
      <c r="Z41" s="16">
        <f t="shared" si="11"/>
        <v>7310</v>
      </c>
      <c r="AA41" s="16">
        <f t="shared" si="11"/>
        <v>8213</v>
      </c>
      <c r="AB41" s="16">
        <f t="shared" si="11"/>
        <v>5633</v>
      </c>
      <c r="AC41" s="16">
        <f t="shared" si="11"/>
        <v>7181</v>
      </c>
      <c r="AD41" s="16">
        <f t="shared" si="11"/>
        <v>3268</v>
      </c>
    </row>
    <row r="42" spans="1:30" x14ac:dyDescent="0.25">
      <c r="A42" s="12" t="s">
        <v>122</v>
      </c>
      <c r="B42" t="s">
        <v>123</v>
      </c>
      <c r="C42" t="s">
        <v>124</v>
      </c>
      <c r="E42" s="17">
        <v>87</v>
      </c>
      <c r="F42" s="18">
        <v>71</v>
      </c>
      <c r="G42">
        <v>78</v>
      </c>
      <c r="H42">
        <v>58</v>
      </c>
      <c r="I42">
        <v>70</v>
      </c>
      <c r="J42">
        <v>37</v>
      </c>
      <c r="K42" s="13">
        <f t="shared" si="8"/>
        <v>31</v>
      </c>
      <c r="L42" s="13">
        <f t="shared" si="8"/>
        <v>38</v>
      </c>
      <c r="M42" s="13">
        <f t="shared" si="8"/>
        <v>18</v>
      </c>
      <c r="N42" s="13">
        <f t="shared" si="8"/>
        <v>30</v>
      </c>
      <c r="O42" s="13">
        <v>2</v>
      </c>
      <c r="P42" s="14">
        <f t="shared" si="9"/>
        <v>6177</v>
      </c>
      <c r="Q42" s="14">
        <f t="shared" si="9"/>
        <v>6786</v>
      </c>
      <c r="R42" s="14">
        <f t="shared" si="9"/>
        <v>5046</v>
      </c>
      <c r="S42" s="14">
        <f t="shared" si="9"/>
        <v>6090</v>
      </c>
      <c r="T42" s="14">
        <f t="shared" si="9"/>
        <v>3219</v>
      </c>
      <c r="U42" s="15">
        <f t="shared" si="10"/>
        <v>1348.5</v>
      </c>
      <c r="V42" s="15">
        <f t="shared" si="10"/>
        <v>1653</v>
      </c>
      <c r="W42" s="15">
        <f t="shared" si="10"/>
        <v>783</v>
      </c>
      <c r="X42" s="15">
        <f t="shared" si="10"/>
        <v>1305</v>
      </c>
      <c r="Y42" s="15">
        <f t="shared" si="10"/>
        <v>87</v>
      </c>
      <c r="Z42" s="16">
        <f t="shared" si="11"/>
        <v>7525.5</v>
      </c>
      <c r="AA42" s="16">
        <f t="shared" si="11"/>
        <v>8439</v>
      </c>
      <c r="AB42" s="16">
        <f t="shared" si="11"/>
        <v>5829</v>
      </c>
      <c r="AC42" s="16">
        <f t="shared" si="11"/>
        <v>7395</v>
      </c>
      <c r="AD42" s="16">
        <f t="shared" si="11"/>
        <v>3306</v>
      </c>
    </row>
    <row r="43" spans="1:30" x14ac:dyDescent="0.25">
      <c r="A43" s="12" t="s">
        <v>125</v>
      </c>
      <c r="B43" t="s">
        <v>126</v>
      </c>
      <c r="C43" t="s">
        <v>127</v>
      </c>
      <c r="E43" s="17">
        <v>44.266666666666701</v>
      </c>
      <c r="F43" s="18">
        <v>72</v>
      </c>
      <c r="G43">
        <v>79</v>
      </c>
      <c r="H43">
        <v>59</v>
      </c>
      <c r="I43">
        <v>71</v>
      </c>
      <c r="J43">
        <v>37</v>
      </c>
      <c r="K43" s="13">
        <f t="shared" si="8"/>
        <v>32</v>
      </c>
      <c r="L43" s="13">
        <f t="shared" si="8"/>
        <v>39</v>
      </c>
      <c r="M43" s="13">
        <f t="shared" si="8"/>
        <v>19</v>
      </c>
      <c r="N43" s="13">
        <f t="shared" si="8"/>
        <v>31</v>
      </c>
      <c r="O43" s="13">
        <v>2</v>
      </c>
      <c r="P43" s="14">
        <f t="shared" si="9"/>
        <v>3187.2000000000025</v>
      </c>
      <c r="Q43" s="14">
        <f t="shared" si="9"/>
        <v>3497.0666666666693</v>
      </c>
      <c r="R43" s="14">
        <f t="shared" si="9"/>
        <v>2611.7333333333354</v>
      </c>
      <c r="S43" s="14">
        <f t="shared" si="9"/>
        <v>3142.9333333333357</v>
      </c>
      <c r="T43" s="14">
        <f t="shared" si="9"/>
        <v>1637.8666666666679</v>
      </c>
      <c r="U43" s="15">
        <f t="shared" si="10"/>
        <v>708.26666666666722</v>
      </c>
      <c r="V43" s="15">
        <f t="shared" si="10"/>
        <v>863.20000000000073</v>
      </c>
      <c r="W43" s="15">
        <f t="shared" si="10"/>
        <v>420.53333333333364</v>
      </c>
      <c r="X43" s="15">
        <f t="shared" si="10"/>
        <v>686.13333333333389</v>
      </c>
      <c r="Y43" s="15">
        <f t="shared" si="10"/>
        <v>44.266666666666701</v>
      </c>
      <c r="Z43" s="16">
        <f t="shared" si="11"/>
        <v>3895.4666666666699</v>
      </c>
      <c r="AA43" s="16">
        <f t="shared" si="11"/>
        <v>4360.2666666666701</v>
      </c>
      <c r="AB43" s="16">
        <f t="shared" si="11"/>
        <v>3032.2666666666692</v>
      </c>
      <c r="AC43" s="16">
        <f t="shared" si="11"/>
        <v>3829.0666666666693</v>
      </c>
      <c r="AD43" s="16">
        <f t="shared" si="11"/>
        <v>1682.1333333333346</v>
      </c>
    </row>
    <row r="44" spans="1:30" x14ac:dyDescent="0.25">
      <c r="A44" s="12" t="s">
        <v>128</v>
      </c>
      <c r="B44" t="s">
        <v>129</v>
      </c>
      <c r="C44" t="s">
        <v>130</v>
      </c>
      <c r="E44" s="17">
        <v>46.009523809523799</v>
      </c>
      <c r="F44" s="18">
        <v>73</v>
      </c>
      <c r="G44">
        <v>80</v>
      </c>
      <c r="H44">
        <v>60</v>
      </c>
      <c r="I44">
        <v>72</v>
      </c>
      <c r="J44">
        <v>37</v>
      </c>
      <c r="K44" s="13">
        <f t="shared" si="8"/>
        <v>33</v>
      </c>
      <c r="L44" s="13">
        <f t="shared" si="8"/>
        <v>40</v>
      </c>
      <c r="M44" s="13">
        <f t="shared" si="8"/>
        <v>20</v>
      </c>
      <c r="N44" s="13">
        <f t="shared" si="8"/>
        <v>32</v>
      </c>
      <c r="O44" s="13">
        <v>2</v>
      </c>
      <c r="P44" s="14">
        <f t="shared" si="9"/>
        <v>3358.6952380952375</v>
      </c>
      <c r="Q44" s="14">
        <f t="shared" si="9"/>
        <v>3680.7619047619037</v>
      </c>
      <c r="R44" s="14">
        <f t="shared" si="9"/>
        <v>2760.571428571428</v>
      </c>
      <c r="S44" s="14">
        <f t="shared" si="9"/>
        <v>3312.6857142857134</v>
      </c>
      <c r="T44" s="14">
        <f t="shared" si="9"/>
        <v>1702.3523809523806</v>
      </c>
      <c r="U44" s="15">
        <f t="shared" si="10"/>
        <v>759.15714285714273</v>
      </c>
      <c r="V44" s="15">
        <f t="shared" si="10"/>
        <v>920.19047619047592</v>
      </c>
      <c r="W44" s="15">
        <f t="shared" si="10"/>
        <v>460.09523809523796</v>
      </c>
      <c r="X44" s="15">
        <f t="shared" si="10"/>
        <v>736.15238095238078</v>
      </c>
      <c r="Y44" s="15">
        <f t="shared" si="10"/>
        <v>46.009523809523799</v>
      </c>
      <c r="Z44" s="16">
        <f t="shared" si="11"/>
        <v>4117.8523809523804</v>
      </c>
      <c r="AA44" s="16">
        <f t="shared" si="11"/>
        <v>4600.9523809523798</v>
      </c>
      <c r="AB44" s="16">
        <f t="shared" si="11"/>
        <v>3220.6666666666661</v>
      </c>
      <c r="AC44" s="16">
        <f t="shared" si="11"/>
        <v>4048.838095238094</v>
      </c>
      <c r="AD44" s="16">
        <f t="shared" si="11"/>
        <v>1748.3619047619045</v>
      </c>
    </row>
    <row r="45" spans="1:30" x14ac:dyDescent="0.25">
      <c r="A45" s="12" t="s">
        <v>131</v>
      </c>
      <c r="B45" t="s">
        <v>132</v>
      </c>
      <c r="C45" t="s">
        <v>133</v>
      </c>
      <c r="E45" s="17">
        <v>47.752380952381003</v>
      </c>
      <c r="F45" s="18">
        <v>74</v>
      </c>
      <c r="G45">
        <v>81</v>
      </c>
      <c r="H45">
        <v>61</v>
      </c>
      <c r="I45">
        <v>73</v>
      </c>
      <c r="J45">
        <v>37</v>
      </c>
      <c r="K45" s="13">
        <f t="shared" si="8"/>
        <v>34</v>
      </c>
      <c r="L45" s="13">
        <f t="shared" si="8"/>
        <v>41</v>
      </c>
      <c r="M45" s="13">
        <f t="shared" si="8"/>
        <v>21</v>
      </c>
      <c r="N45" s="13">
        <f t="shared" si="8"/>
        <v>33</v>
      </c>
      <c r="O45" s="13">
        <v>2</v>
      </c>
      <c r="P45" s="14">
        <f t="shared" si="9"/>
        <v>3533.6761904761943</v>
      </c>
      <c r="Q45" s="14">
        <f t="shared" si="9"/>
        <v>3867.9428571428612</v>
      </c>
      <c r="R45" s="14">
        <f t="shared" si="9"/>
        <v>2912.895238095241</v>
      </c>
      <c r="S45" s="14">
        <f t="shared" si="9"/>
        <v>3485.9238095238134</v>
      </c>
      <c r="T45" s="14">
        <f t="shared" si="9"/>
        <v>1766.8380952380971</v>
      </c>
      <c r="U45" s="15">
        <f t="shared" si="10"/>
        <v>811.79047619047708</v>
      </c>
      <c r="V45" s="15">
        <f t="shared" si="10"/>
        <v>978.92380952381052</v>
      </c>
      <c r="W45" s="15">
        <f t="shared" si="10"/>
        <v>501.40000000000055</v>
      </c>
      <c r="X45" s="15">
        <f t="shared" si="10"/>
        <v>787.91428571428651</v>
      </c>
      <c r="Y45" s="15">
        <f t="shared" si="10"/>
        <v>47.752380952381003</v>
      </c>
      <c r="Z45" s="16">
        <f t="shared" si="11"/>
        <v>4345.4666666666717</v>
      </c>
      <c r="AA45" s="16">
        <f t="shared" si="11"/>
        <v>4846.8666666666713</v>
      </c>
      <c r="AB45" s="16">
        <f t="shared" si="11"/>
        <v>3414.2952380952415</v>
      </c>
      <c r="AC45" s="16">
        <f t="shared" si="11"/>
        <v>4273.8380952380994</v>
      </c>
      <c r="AD45" s="16">
        <f t="shared" si="11"/>
        <v>1814.5904761904781</v>
      </c>
    </row>
    <row r="46" spans="1:30" x14ac:dyDescent="0.25">
      <c r="A46" s="12" t="s">
        <v>134</v>
      </c>
      <c r="B46" t="s">
        <v>135</v>
      </c>
      <c r="C46" t="s">
        <v>136</v>
      </c>
      <c r="E46" s="17">
        <v>49.495238095238101</v>
      </c>
      <c r="F46" s="18">
        <v>75</v>
      </c>
      <c r="G46">
        <v>82</v>
      </c>
      <c r="H46">
        <v>62</v>
      </c>
      <c r="I46">
        <v>74</v>
      </c>
      <c r="J46">
        <v>37</v>
      </c>
      <c r="K46" s="13">
        <f t="shared" si="8"/>
        <v>35</v>
      </c>
      <c r="L46" s="13">
        <f t="shared" si="8"/>
        <v>42</v>
      </c>
      <c r="M46" s="13">
        <f t="shared" si="8"/>
        <v>22</v>
      </c>
      <c r="N46" s="13">
        <f t="shared" si="8"/>
        <v>34</v>
      </c>
      <c r="O46" s="13">
        <v>2</v>
      </c>
      <c r="P46" s="14">
        <f t="shared" si="9"/>
        <v>3712.1428571428573</v>
      </c>
      <c r="Q46" s="14">
        <f t="shared" si="9"/>
        <v>4058.609523809524</v>
      </c>
      <c r="R46" s="14">
        <f t="shared" si="9"/>
        <v>3068.7047619047621</v>
      </c>
      <c r="S46" s="14">
        <f t="shared" si="9"/>
        <v>3662.6476190476196</v>
      </c>
      <c r="T46" s="14">
        <f t="shared" si="9"/>
        <v>1831.3238095238098</v>
      </c>
      <c r="U46" s="15">
        <f t="shared" si="10"/>
        <v>866.16666666666674</v>
      </c>
      <c r="V46" s="15">
        <f t="shared" si="10"/>
        <v>1039.4000000000001</v>
      </c>
      <c r="W46" s="15">
        <f t="shared" si="10"/>
        <v>544.44761904761913</v>
      </c>
      <c r="X46" s="15">
        <f t="shared" si="10"/>
        <v>841.41904761904766</v>
      </c>
      <c r="Y46" s="15">
        <f t="shared" si="10"/>
        <v>49.495238095238101</v>
      </c>
      <c r="Z46" s="16">
        <f t="shared" si="11"/>
        <v>4578.3095238095239</v>
      </c>
      <c r="AA46" s="16">
        <f t="shared" si="11"/>
        <v>5098.0095238095237</v>
      </c>
      <c r="AB46" s="16">
        <f t="shared" si="11"/>
        <v>3613.1523809523815</v>
      </c>
      <c r="AC46" s="16">
        <f t="shared" si="11"/>
        <v>4504.0666666666675</v>
      </c>
      <c r="AD46" s="16">
        <f t="shared" si="11"/>
        <v>1880.819047619048</v>
      </c>
    </row>
    <row r="47" spans="1:30" x14ac:dyDescent="0.25">
      <c r="A47" s="12" t="s">
        <v>137</v>
      </c>
      <c r="B47" t="s">
        <v>138</v>
      </c>
      <c r="C47" t="s">
        <v>15</v>
      </c>
      <c r="E47" s="17">
        <v>10</v>
      </c>
      <c r="F47" s="18">
        <v>76</v>
      </c>
      <c r="G47">
        <v>83</v>
      </c>
      <c r="H47">
        <v>63</v>
      </c>
      <c r="I47">
        <v>75</v>
      </c>
      <c r="J47">
        <v>37</v>
      </c>
      <c r="K47" s="13">
        <f t="shared" si="8"/>
        <v>36</v>
      </c>
      <c r="L47" s="13">
        <f t="shared" si="8"/>
        <v>43</v>
      </c>
      <c r="M47" s="13">
        <f t="shared" si="8"/>
        <v>23</v>
      </c>
      <c r="N47" s="13">
        <f t="shared" si="8"/>
        <v>35</v>
      </c>
      <c r="O47" s="13">
        <v>2</v>
      </c>
      <c r="P47" s="14">
        <f t="shared" si="9"/>
        <v>760</v>
      </c>
      <c r="Q47" s="14">
        <f t="shared" si="9"/>
        <v>830</v>
      </c>
      <c r="R47" s="14">
        <f t="shared" si="9"/>
        <v>630</v>
      </c>
      <c r="S47" s="14">
        <f t="shared" si="9"/>
        <v>750</v>
      </c>
      <c r="T47" s="14">
        <f t="shared" si="9"/>
        <v>370</v>
      </c>
      <c r="U47" s="15">
        <f t="shared" si="10"/>
        <v>180</v>
      </c>
      <c r="V47" s="15">
        <f t="shared" si="10"/>
        <v>215</v>
      </c>
      <c r="W47" s="15">
        <f t="shared" si="10"/>
        <v>115</v>
      </c>
      <c r="X47" s="15">
        <f t="shared" si="10"/>
        <v>175</v>
      </c>
      <c r="Y47" s="15">
        <f t="shared" si="10"/>
        <v>10</v>
      </c>
      <c r="Z47" s="16">
        <f t="shared" si="11"/>
        <v>940</v>
      </c>
      <c r="AA47" s="16">
        <f t="shared" si="11"/>
        <v>1045</v>
      </c>
      <c r="AB47" s="16">
        <f t="shared" si="11"/>
        <v>745</v>
      </c>
      <c r="AC47" s="16">
        <f t="shared" si="11"/>
        <v>925</v>
      </c>
      <c r="AD47" s="16">
        <f t="shared" si="11"/>
        <v>380</v>
      </c>
    </row>
    <row r="48" spans="1:30" x14ac:dyDescent="0.25">
      <c r="A48" s="12" t="s">
        <v>139</v>
      </c>
      <c r="B48" t="s">
        <v>140</v>
      </c>
      <c r="C48" t="s">
        <v>141</v>
      </c>
      <c r="E48" s="17">
        <v>12</v>
      </c>
      <c r="F48" s="18">
        <v>77</v>
      </c>
      <c r="G48">
        <v>84</v>
      </c>
      <c r="H48">
        <v>64</v>
      </c>
      <c r="I48">
        <v>76</v>
      </c>
      <c r="J48">
        <v>37</v>
      </c>
      <c r="K48" s="13">
        <f t="shared" si="8"/>
        <v>37</v>
      </c>
      <c r="L48" s="13">
        <f t="shared" si="8"/>
        <v>44</v>
      </c>
      <c r="M48" s="13">
        <f t="shared" si="8"/>
        <v>24</v>
      </c>
      <c r="N48" s="13">
        <f t="shared" si="8"/>
        <v>36</v>
      </c>
      <c r="O48" s="13">
        <v>2</v>
      </c>
      <c r="P48" s="14">
        <f t="shared" si="9"/>
        <v>924</v>
      </c>
      <c r="Q48" s="14">
        <f t="shared" si="9"/>
        <v>1008</v>
      </c>
      <c r="R48" s="14">
        <f t="shared" si="9"/>
        <v>768</v>
      </c>
      <c r="S48" s="14">
        <f t="shared" si="9"/>
        <v>912</v>
      </c>
      <c r="T48" s="14">
        <f t="shared" si="9"/>
        <v>444</v>
      </c>
      <c r="U48" s="15">
        <f t="shared" si="10"/>
        <v>222</v>
      </c>
      <c r="V48" s="15">
        <f t="shared" si="10"/>
        <v>264</v>
      </c>
      <c r="W48" s="15">
        <f t="shared" si="10"/>
        <v>144</v>
      </c>
      <c r="X48" s="15">
        <f t="shared" si="10"/>
        <v>216</v>
      </c>
      <c r="Y48" s="15">
        <f t="shared" si="10"/>
        <v>12</v>
      </c>
      <c r="Z48" s="16">
        <f t="shared" si="11"/>
        <v>1146</v>
      </c>
      <c r="AA48" s="16">
        <f t="shared" si="11"/>
        <v>1272</v>
      </c>
      <c r="AB48" s="16">
        <f t="shared" si="11"/>
        <v>912</v>
      </c>
      <c r="AC48" s="16">
        <f t="shared" si="11"/>
        <v>1128</v>
      </c>
      <c r="AD48" s="16">
        <f t="shared" si="11"/>
        <v>456</v>
      </c>
    </row>
    <row r="49" spans="1:30" x14ac:dyDescent="0.25">
      <c r="A49" s="12" t="s">
        <v>142</v>
      </c>
      <c r="B49" t="s">
        <v>143</v>
      </c>
      <c r="C49" t="s">
        <v>144</v>
      </c>
      <c r="E49" s="17">
        <v>14</v>
      </c>
      <c r="F49" s="18">
        <v>78</v>
      </c>
      <c r="G49">
        <v>85</v>
      </c>
      <c r="H49">
        <v>65</v>
      </c>
      <c r="I49">
        <v>77</v>
      </c>
      <c r="J49">
        <v>37</v>
      </c>
      <c r="K49" s="13">
        <f t="shared" si="8"/>
        <v>38</v>
      </c>
      <c r="L49" s="13">
        <f t="shared" si="8"/>
        <v>45</v>
      </c>
      <c r="M49" s="13">
        <f t="shared" si="8"/>
        <v>25</v>
      </c>
      <c r="N49" s="13">
        <f t="shared" si="8"/>
        <v>37</v>
      </c>
      <c r="O49" s="13">
        <v>2</v>
      </c>
      <c r="P49" s="14">
        <f t="shared" si="9"/>
        <v>1092</v>
      </c>
      <c r="Q49" s="14">
        <f t="shared" si="9"/>
        <v>1190</v>
      </c>
      <c r="R49" s="14">
        <f t="shared" si="9"/>
        <v>910</v>
      </c>
      <c r="S49" s="14">
        <f t="shared" si="9"/>
        <v>1078</v>
      </c>
      <c r="T49" s="14">
        <f t="shared" si="9"/>
        <v>518</v>
      </c>
      <c r="U49" s="15">
        <f t="shared" si="10"/>
        <v>266</v>
      </c>
      <c r="V49" s="15">
        <f t="shared" si="10"/>
        <v>315</v>
      </c>
      <c r="W49" s="15">
        <f t="shared" si="10"/>
        <v>175</v>
      </c>
      <c r="X49" s="15">
        <f t="shared" si="10"/>
        <v>259</v>
      </c>
      <c r="Y49" s="15">
        <f t="shared" si="10"/>
        <v>14</v>
      </c>
      <c r="Z49" s="16">
        <f t="shared" si="11"/>
        <v>1358</v>
      </c>
      <c r="AA49" s="16">
        <f t="shared" si="11"/>
        <v>1505</v>
      </c>
      <c r="AB49" s="16">
        <f t="shared" si="11"/>
        <v>1085</v>
      </c>
      <c r="AC49" s="16">
        <f t="shared" si="11"/>
        <v>1337</v>
      </c>
      <c r="AD49" s="16">
        <f t="shared" si="11"/>
        <v>532</v>
      </c>
    </row>
    <row r="50" spans="1:30" x14ac:dyDescent="0.25">
      <c r="A50" s="12" t="s">
        <v>145</v>
      </c>
      <c r="B50" t="s">
        <v>146</v>
      </c>
      <c r="C50" t="s">
        <v>147</v>
      </c>
      <c r="E50" s="17">
        <v>10</v>
      </c>
      <c r="F50" s="18">
        <v>79</v>
      </c>
      <c r="G50">
        <v>86</v>
      </c>
      <c r="H50">
        <v>66</v>
      </c>
      <c r="I50">
        <v>78</v>
      </c>
      <c r="J50">
        <v>37</v>
      </c>
      <c r="K50" s="13">
        <f t="shared" si="8"/>
        <v>39</v>
      </c>
      <c r="L50" s="13">
        <f t="shared" si="8"/>
        <v>46</v>
      </c>
      <c r="M50" s="13">
        <f t="shared" si="8"/>
        <v>26</v>
      </c>
      <c r="N50" s="13">
        <f t="shared" si="8"/>
        <v>38</v>
      </c>
      <c r="O50" s="13">
        <v>2</v>
      </c>
      <c r="P50" s="14">
        <f t="shared" si="9"/>
        <v>790</v>
      </c>
      <c r="Q50" s="14">
        <f t="shared" si="9"/>
        <v>860</v>
      </c>
      <c r="R50" s="14">
        <f t="shared" si="9"/>
        <v>660</v>
      </c>
      <c r="S50" s="14">
        <f t="shared" si="9"/>
        <v>780</v>
      </c>
      <c r="T50" s="14">
        <f t="shared" si="9"/>
        <v>370</v>
      </c>
      <c r="U50" s="15">
        <f t="shared" si="10"/>
        <v>195</v>
      </c>
      <c r="V50" s="15">
        <f t="shared" si="10"/>
        <v>230</v>
      </c>
      <c r="W50" s="15">
        <f t="shared" si="10"/>
        <v>130</v>
      </c>
      <c r="X50" s="15">
        <f t="shared" si="10"/>
        <v>190</v>
      </c>
      <c r="Y50" s="15">
        <f t="shared" si="10"/>
        <v>10</v>
      </c>
      <c r="Z50" s="16">
        <f t="shared" si="11"/>
        <v>985</v>
      </c>
      <c r="AA50" s="16">
        <f t="shared" si="11"/>
        <v>1090</v>
      </c>
      <c r="AB50" s="16">
        <f t="shared" si="11"/>
        <v>790</v>
      </c>
      <c r="AC50" s="16">
        <f t="shared" si="11"/>
        <v>970</v>
      </c>
      <c r="AD50" s="16">
        <f t="shared" si="11"/>
        <v>380</v>
      </c>
    </row>
    <row r="51" spans="1:30" x14ac:dyDescent="0.25">
      <c r="A51" s="12" t="s">
        <v>148</v>
      </c>
      <c r="B51" t="s">
        <v>149</v>
      </c>
      <c r="C51" t="s">
        <v>150</v>
      </c>
      <c r="E51" s="17">
        <v>7</v>
      </c>
      <c r="F51" s="18">
        <v>80</v>
      </c>
      <c r="G51">
        <v>87</v>
      </c>
      <c r="H51">
        <v>67</v>
      </c>
      <c r="I51">
        <v>79</v>
      </c>
      <c r="J51">
        <v>37</v>
      </c>
      <c r="K51" s="13">
        <f t="shared" si="8"/>
        <v>40</v>
      </c>
      <c r="L51" s="13">
        <f t="shared" si="8"/>
        <v>47</v>
      </c>
      <c r="M51" s="13">
        <f t="shared" si="8"/>
        <v>27</v>
      </c>
      <c r="N51" s="13">
        <f t="shared" si="8"/>
        <v>39</v>
      </c>
      <c r="O51" s="13">
        <v>2</v>
      </c>
      <c r="P51" s="14">
        <f t="shared" si="9"/>
        <v>560</v>
      </c>
      <c r="Q51" s="14">
        <f t="shared" si="9"/>
        <v>609</v>
      </c>
      <c r="R51" s="14">
        <f t="shared" si="9"/>
        <v>469</v>
      </c>
      <c r="S51" s="14">
        <f t="shared" si="9"/>
        <v>553</v>
      </c>
      <c r="T51" s="14">
        <f t="shared" si="9"/>
        <v>259</v>
      </c>
      <c r="U51" s="15">
        <f t="shared" si="10"/>
        <v>140</v>
      </c>
      <c r="V51" s="15">
        <f t="shared" si="10"/>
        <v>164.5</v>
      </c>
      <c r="W51" s="15">
        <f t="shared" si="10"/>
        <v>94.5</v>
      </c>
      <c r="X51" s="15">
        <f t="shared" si="10"/>
        <v>136.5</v>
      </c>
      <c r="Y51" s="15">
        <f t="shared" si="10"/>
        <v>7</v>
      </c>
      <c r="Z51" s="16">
        <f t="shared" si="11"/>
        <v>700</v>
      </c>
      <c r="AA51" s="16">
        <f t="shared" si="11"/>
        <v>773.5</v>
      </c>
      <c r="AB51" s="16">
        <f t="shared" si="11"/>
        <v>563.5</v>
      </c>
      <c r="AC51" s="16">
        <f t="shared" si="11"/>
        <v>689.5</v>
      </c>
      <c r="AD51" s="16">
        <f t="shared" si="11"/>
        <v>266</v>
      </c>
    </row>
    <row r="52" spans="1:30" x14ac:dyDescent="0.25">
      <c r="A52" s="12" t="s">
        <v>151</v>
      </c>
      <c r="B52" t="s">
        <v>152</v>
      </c>
      <c r="C52" t="s">
        <v>153</v>
      </c>
      <c r="E52" s="17">
        <v>39</v>
      </c>
      <c r="F52" s="18">
        <v>81</v>
      </c>
      <c r="G52">
        <v>88</v>
      </c>
      <c r="H52">
        <v>68</v>
      </c>
      <c r="I52">
        <v>80</v>
      </c>
      <c r="J52">
        <v>37</v>
      </c>
      <c r="K52" s="13">
        <f t="shared" si="8"/>
        <v>41</v>
      </c>
      <c r="L52" s="13">
        <f t="shared" si="8"/>
        <v>48</v>
      </c>
      <c r="M52" s="13">
        <f t="shared" si="8"/>
        <v>28</v>
      </c>
      <c r="N52" s="13">
        <f t="shared" si="8"/>
        <v>40</v>
      </c>
      <c r="O52" s="13">
        <v>2</v>
      </c>
      <c r="P52" s="14">
        <f t="shared" si="9"/>
        <v>3159</v>
      </c>
      <c r="Q52" s="14">
        <f t="shared" si="9"/>
        <v>3432</v>
      </c>
      <c r="R52" s="14">
        <f t="shared" si="9"/>
        <v>2652</v>
      </c>
      <c r="S52" s="14">
        <f t="shared" si="9"/>
        <v>3120</v>
      </c>
      <c r="T52" s="14">
        <f t="shared" si="9"/>
        <v>1443</v>
      </c>
      <c r="U52" s="15">
        <f t="shared" si="10"/>
        <v>799.5</v>
      </c>
      <c r="V52" s="15">
        <f t="shared" si="10"/>
        <v>936</v>
      </c>
      <c r="W52" s="15">
        <f t="shared" si="10"/>
        <v>546</v>
      </c>
      <c r="X52" s="15">
        <f t="shared" si="10"/>
        <v>780</v>
      </c>
      <c r="Y52" s="15">
        <f t="shared" si="10"/>
        <v>39</v>
      </c>
      <c r="Z52" s="16">
        <f t="shared" si="11"/>
        <v>3958.5</v>
      </c>
      <c r="AA52" s="16">
        <f t="shared" si="11"/>
        <v>4368</v>
      </c>
      <c r="AB52" s="16">
        <f t="shared" si="11"/>
        <v>3198</v>
      </c>
      <c r="AC52" s="16">
        <f t="shared" si="11"/>
        <v>3900</v>
      </c>
      <c r="AD52" s="16">
        <f t="shared" si="11"/>
        <v>1482</v>
      </c>
    </row>
    <row r="53" spans="1:30" x14ac:dyDescent="0.25">
      <c r="A53" s="12" t="s">
        <v>154</v>
      </c>
      <c r="B53" t="s">
        <v>155</v>
      </c>
      <c r="C53" t="s">
        <v>156</v>
      </c>
      <c r="E53" s="17">
        <v>27.933333333333302</v>
      </c>
      <c r="F53" s="18">
        <v>82</v>
      </c>
      <c r="G53">
        <v>89</v>
      </c>
      <c r="H53">
        <v>69</v>
      </c>
      <c r="I53">
        <v>81</v>
      </c>
      <c r="J53">
        <v>37</v>
      </c>
      <c r="K53" s="13">
        <f t="shared" si="8"/>
        <v>42</v>
      </c>
      <c r="L53" s="13">
        <f t="shared" si="8"/>
        <v>49</v>
      </c>
      <c r="M53" s="13">
        <f t="shared" si="8"/>
        <v>29</v>
      </c>
      <c r="N53" s="13">
        <f t="shared" si="8"/>
        <v>41</v>
      </c>
      <c r="O53" s="13">
        <v>2</v>
      </c>
      <c r="P53" s="14">
        <f t="shared" si="9"/>
        <v>2290.5333333333306</v>
      </c>
      <c r="Q53" s="14">
        <f t="shared" si="9"/>
        <v>2486.0666666666639</v>
      </c>
      <c r="R53" s="14">
        <f t="shared" si="9"/>
        <v>1927.3999999999978</v>
      </c>
      <c r="S53" s="14">
        <f t="shared" si="9"/>
        <v>2262.5999999999976</v>
      </c>
      <c r="T53" s="14">
        <f t="shared" si="9"/>
        <v>1033.5333333333322</v>
      </c>
      <c r="U53" s="15">
        <f t="shared" si="10"/>
        <v>586.59999999999934</v>
      </c>
      <c r="V53" s="15">
        <f t="shared" si="10"/>
        <v>684.36666666666588</v>
      </c>
      <c r="W53" s="15">
        <f t="shared" si="10"/>
        <v>405.03333333333285</v>
      </c>
      <c r="X53" s="15">
        <f t="shared" si="10"/>
        <v>572.63333333333264</v>
      </c>
      <c r="Y53" s="15">
        <f t="shared" si="10"/>
        <v>27.933333333333302</v>
      </c>
      <c r="Z53" s="16">
        <f t="shared" si="11"/>
        <v>2877.13333333333</v>
      </c>
      <c r="AA53" s="16">
        <f t="shared" si="11"/>
        <v>3170.4333333333298</v>
      </c>
      <c r="AB53" s="16">
        <f t="shared" si="11"/>
        <v>2332.4333333333307</v>
      </c>
      <c r="AC53" s="16">
        <f t="shared" si="11"/>
        <v>2835.2333333333304</v>
      </c>
      <c r="AD53" s="16">
        <f t="shared" si="11"/>
        <v>1061.4666666666656</v>
      </c>
    </row>
    <row r="54" spans="1:30" x14ac:dyDescent="0.25">
      <c r="A54" s="12" t="s">
        <v>157</v>
      </c>
      <c r="B54" t="s">
        <v>158</v>
      </c>
      <c r="C54" t="s">
        <v>159</v>
      </c>
      <c r="E54" s="17">
        <v>31.533333333333299</v>
      </c>
      <c r="F54" s="18">
        <v>83</v>
      </c>
      <c r="G54">
        <v>90</v>
      </c>
      <c r="H54">
        <v>70</v>
      </c>
      <c r="I54">
        <v>82</v>
      </c>
      <c r="J54">
        <v>37</v>
      </c>
      <c r="K54" s="13">
        <f t="shared" si="8"/>
        <v>43</v>
      </c>
      <c r="L54" s="13">
        <f t="shared" si="8"/>
        <v>50</v>
      </c>
      <c r="M54" s="13">
        <f t="shared" si="8"/>
        <v>30</v>
      </c>
      <c r="N54" s="13">
        <f t="shared" si="8"/>
        <v>42</v>
      </c>
      <c r="O54" s="13">
        <v>2</v>
      </c>
      <c r="P54" s="14">
        <f t="shared" si="9"/>
        <v>2617.2666666666637</v>
      </c>
      <c r="Q54" s="14">
        <f t="shared" si="9"/>
        <v>2837.9999999999968</v>
      </c>
      <c r="R54" s="14">
        <f t="shared" si="9"/>
        <v>2207.3333333333308</v>
      </c>
      <c r="S54" s="14">
        <f t="shared" si="9"/>
        <v>2585.7333333333304</v>
      </c>
      <c r="T54" s="14">
        <f t="shared" si="9"/>
        <v>1166.733333333332</v>
      </c>
      <c r="U54" s="15">
        <f t="shared" si="10"/>
        <v>677.9666666666659</v>
      </c>
      <c r="V54" s="15">
        <f t="shared" si="10"/>
        <v>788.33333333333246</v>
      </c>
      <c r="W54" s="15">
        <f t="shared" si="10"/>
        <v>472.99999999999949</v>
      </c>
      <c r="X54" s="15">
        <f t="shared" si="10"/>
        <v>662.19999999999925</v>
      </c>
      <c r="Y54" s="15">
        <f t="shared" si="10"/>
        <v>31.533333333333299</v>
      </c>
      <c r="Z54" s="16">
        <f t="shared" si="11"/>
        <v>3295.2333333333295</v>
      </c>
      <c r="AA54" s="16">
        <f t="shared" si="11"/>
        <v>3626.3333333333294</v>
      </c>
      <c r="AB54" s="16">
        <f t="shared" si="11"/>
        <v>2680.3333333333303</v>
      </c>
      <c r="AC54" s="16">
        <f t="shared" si="11"/>
        <v>3247.9333333333298</v>
      </c>
      <c r="AD54" s="16">
        <f t="shared" si="11"/>
        <v>1198.2666666666653</v>
      </c>
    </row>
    <row r="55" spans="1:30" x14ac:dyDescent="0.25">
      <c r="A55" s="12" t="s">
        <v>160</v>
      </c>
      <c r="B55" t="s">
        <v>161</v>
      </c>
      <c r="C55" t="s">
        <v>162</v>
      </c>
      <c r="E55" s="17">
        <v>35.133333333333297</v>
      </c>
      <c r="F55" s="18">
        <v>84</v>
      </c>
      <c r="G55">
        <v>91</v>
      </c>
      <c r="H55">
        <v>71</v>
      </c>
      <c r="I55">
        <v>83</v>
      </c>
      <c r="J55">
        <v>37</v>
      </c>
      <c r="K55" s="13">
        <f t="shared" si="8"/>
        <v>44</v>
      </c>
      <c r="L55" s="13">
        <f t="shared" si="8"/>
        <v>51</v>
      </c>
      <c r="M55" s="13">
        <f t="shared" si="8"/>
        <v>31</v>
      </c>
      <c r="N55" s="13">
        <f t="shared" si="8"/>
        <v>43</v>
      </c>
      <c r="O55" s="13">
        <v>2</v>
      </c>
      <c r="P55" s="14">
        <f t="shared" si="9"/>
        <v>2951.1999999999971</v>
      </c>
      <c r="Q55" s="14">
        <f t="shared" si="9"/>
        <v>3197.13333333333</v>
      </c>
      <c r="R55" s="14">
        <f t="shared" si="9"/>
        <v>2494.466666666664</v>
      </c>
      <c r="S55" s="14">
        <f t="shared" si="9"/>
        <v>2916.0666666666639</v>
      </c>
      <c r="T55" s="14">
        <f t="shared" si="9"/>
        <v>1299.933333333332</v>
      </c>
      <c r="U55" s="15">
        <f t="shared" si="10"/>
        <v>772.93333333333248</v>
      </c>
      <c r="V55" s="15">
        <f t="shared" si="10"/>
        <v>895.89999999999907</v>
      </c>
      <c r="W55" s="15">
        <f t="shared" si="10"/>
        <v>544.56666666666615</v>
      </c>
      <c r="X55" s="15">
        <f t="shared" si="10"/>
        <v>755.36666666666588</v>
      </c>
      <c r="Y55" s="15">
        <f t="shared" si="10"/>
        <v>35.133333333333297</v>
      </c>
      <c r="Z55" s="16">
        <f t="shared" si="11"/>
        <v>3724.1333333333296</v>
      </c>
      <c r="AA55" s="16">
        <f t="shared" si="11"/>
        <v>4093.0333333333292</v>
      </c>
      <c r="AB55" s="16">
        <f t="shared" si="11"/>
        <v>3039.0333333333301</v>
      </c>
      <c r="AC55" s="16">
        <f t="shared" si="11"/>
        <v>3671.4333333333298</v>
      </c>
      <c r="AD55" s="16">
        <f t="shared" si="11"/>
        <v>1335.0666666666652</v>
      </c>
    </row>
    <row r="56" spans="1:30" x14ac:dyDescent="0.25">
      <c r="A56" s="12" t="s">
        <v>163</v>
      </c>
      <c r="B56" t="s">
        <v>164</v>
      </c>
      <c r="C56" t="s">
        <v>165</v>
      </c>
      <c r="E56" s="17">
        <v>70</v>
      </c>
      <c r="F56" s="18">
        <v>85</v>
      </c>
      <c r="G56">
        <v>92</v>
      </c>
      <c r="H56">
        <v>72</v>
      </c>
      <c r="I56">
        <v>84</v>
      </c>
      <c r="J56">
        <v>37</v>
      </c>
      <c r="K56" s="13">
        <f t="shared" si="8"/>
        <v>45</v>
      </c>
      <c r="L56" s="13">
        <f t="shared" si="8"/>
        <v>52</v>
      </c>
      <c r="M56" s="13">
        <f t="shared" si="8"/>
        <v>32</v>
      </c>
      <c r="N56" s="13">
        <f t="shared" si="8"/>
        <v>44</v>
      </c>
      <c r="O56" s="13">
        <v>2</v>
      </c>
      <c r="P56" s="14">
        <f t="shared" si="9"/>
        <v>5950</v>
      </c>
      <c r="Q56" s="14">
        <f t="shared" si="9"/>
        <v>6440</v>
      </c>
      <c r="R56" s="14">
        <f t="shared" si="9"/>
        <v>5040</v>
      </c>
      <c r="S56" s="14">
        <f t="shared" si="9"/>
        <v>5880</v>
      </c>
      <c r="T56" s="14">
        <f t="shared" si="9"/>
        <v>2590</v>
      </c>
      <c r="U56" s="15">
        <f t="shared" ref="U56:Y89" si="12">0.5*K56*$E56</f>
        <v>1575</v>
      </c>
      <c r="V56" s="15">
        <f t="shared" si="12"/>
        <v>1820</v>
      </c>
      <c r="W56" s="15">
        <f t="shared" si="12"/>
        <v>1120</v>
      </c>
      <c r="X56" s="15">
        <f t="shared" si="12"/>
        <v>1540</v>
      </c>
      <c r="Y56" s="15">
        <f t="shared" si="12"/>
        <v>70</v>
      </c>
      <c r="Z56" s="16">
        <f t="shared" si="11"/>
        <v>7525</v>
      </c>
      <c r="AA56" s="16">
        <f t="shared" si="11"/>
        <v>8260</v>
      </c>
      <c r="AB56" s="16">
        <f t="shared" si="11"/>
        <v>6160</v>
      </c>
      <c r="AC56" s="16">
        <f t="shared" si="11"/>
        <v>7420</v>
      </c>
      <c r="AD56" s="16">
        <f t="shared" si="11"/>
        <v>2660</v>
      </c>
    </row>
    <row r="57" spans="1:30" x14ac:dyDescent="0.25">
      <c r="A57" s="12" t="s">
        <v>166</v>
      </c>
      <c r="B57" t="s">
        <v>167</v>
      </c>
      <c r="C57" t="s">
        <v>168</v>
      </c>
      <c r="E57" s="1">
        <v>10</v>
      </c>
      <c r="F57" s="18">
        <v>86</v>
      </c>
      <c r="G57">
        <v>93</v>
      </c>
      <c r="H57">
        <v>73</v>
      </c>
      <c r="I57">
        <v>85</v>
      </c>
      <c r="J57">
        <v>37</v>
      </c>
      <c r="K57" s="13">
        <f t="shared" si="8"/>
        <v>46</v>
      </c>
      <c r="L57" s="13">
        <f t="shared" si="8"/>
        <v>53</v>
      </c>
      <c r="M57" s="13">
        <f t="shared" si="8"/>
        <v>33</v>
      </c>
      <c r="N57" s="13">
        <f t="shared" si="8"/>
        <v>45</v>
      </c>
      <c r="O57" s="13">
        <v>2</v>
      </c>
      <c r="P57" s="14">
        <f t="shared" si="9"/>
        <v>860</v>
      </c>
      <c r="Q57" s="14">
        <f t="shared" si="9"/>
        <v>930</v>
      </c>
      <c r="R57" s="14">
        <f t="shared" si="9"/>
        <v>730</v>
      </c>
      <c r="S57" s="14">
        <f t="shared" si="9"/>
        <v>850</v>
      </c>
      <c r="T57" s="14">
        <f t="shared" si="9"/>
        <v>370</v>
      </c>
      <c r="U57" s="15">
        <f t="shared" si="12"/>
        <v>230</v>
      </c>
      <c r="V57" s="15">
        <f t="shared" si="12"/>
        <v>265</v>
      </c>
      <c r="W57" s="15">
        <f t="shared" si="12"/>
        <v>165</v>
      </c>
      <c r="X57" s="15">
        <f t="shared" si="12"/>
        <v>225</v>
      </c>
      <c r="Y57" s="15">
        <f t="shared" si="12"/>
        <v>10</v>
      </c>
      <c r="Z57" s="16">
        <f t="shared" si="11"/>
        <v>1090</v>
      </c>
      <c r="AA57" s="16">
        <f t="shared" si="11"/>
        <v>1195</v>
      </c>
      <c r="AB57" s="16">
        <f t="shared" si="11"/>
        <v>895</v>
      </c>
      <c r="AC57" s="16">
        <f t="shared" si="11"/>
        <v>1075</v>
      </c>
      <c r="AD57" s="16">
        <f t="shared" si="11"/>
        <v>380</v>
      </c>
    </row>
    <row r="58" spans="1:30" x14ac:dyDescent="0.25">
      <c r="A58" s="12" t="s">
        <v>169</v>
      </c>
      <c r="B58" t="s">
        <v>170</v>
      </c>
      <c r="C58" t="s">
        <v>171</v>
      </c>
      <c r="E58" s="1">
        <v>12</v>
      </c>
      <c r="F58" s="18">
        <v>87</v>
      </c>
      <c r="G58">
        <v>94</v>
      </c>
      <c r="H58">
        <v>74</v>
      </c>
      <c r="I58">
        <v>86</v>
      </c>
      <c r="J58">
        <v>37</v>
      </c>
      <c r="K58" s="13">
        <f t="shared" si="8"/>
        <v>47</v>
      </c>
      <c r="L58" s="13">
        <f t="shared" si="8"/>
        <v>54</v>
      </c>
      <c r="M58" s="13">
        <f t="shared" si="8"/>
        <v>34</v>
      </c>
      <c r="N58" s="13">
        <f t="shared" si="8"/>
        <v>46</v>
      </c>
      <c r="O58" s="13">
        <v>2</v>
      </c>
      <c r="P58" s="14">
        <f t="shared" si="9"/>
        <v>1044</v>
      </c>
      <c r="Q58" s="14">
        <f t="shared" si="9"/>
        <v>1128</v>
      </c>
      <c r="R58" s="14">
        <f t="shared" si="9"/>
        <v>888</v>
      </c>
      <c r="S58" s="14">
        <f t="shared" si="9"/>
        <v>1032</v>
      </c>
      <c r="T58" s="14">
        <f t="shared" si="9"/>
        <v>444</v>
      </c>
      <c r="U58" s="15">
        <f t="shared" si="12"/>
        <v>282</v>
      </c>
      <c r="V58" s="15">
        <f t="shared" si="12"/>
        <v>324</v>
      </c>
      <c r="W58" s="15">
        <f t="shared" si="12"/>
        <v>204</v>
      </c>
      <c r="X58" s="15">
        <f t="shared" si="12"/>
        <v>276</v>
      </c>
      <c r="Y58" s="15">
        <f t="shared" si="12"/>
        <v>12</v>
      </c>
      <c r="Z58" s="16">
        <f t="shared" si="11"/>
        <v>1326</v>
      </c>
      <c r="AA58" s="16">
        <f t="shared" si="11"/>
        <v>1452</v>
      </c>
      <c r="AB58" s="16">
        <f t="shared" si="11"/>
        <v>1092</v>
      </c>
      <c r="AC58" s="16">
        <f t="shared" si="11"/>
        <v>1308</v>
      </c>
      <c r="AD58" s="16">
        <f t="shared" si="11"/>
        <v>456</v>
      </c>
    </row>
    <row r="59" spans="1:30" x14ac:dyDescent="0.25">
      <c r="A59" s="12" t="s">
        <v>172</v>
      </c>
      <c r="B59" t="s">
        <v>173</v>
      </c>
      <c r="C59" t="s">
        <v>174</v>
      </c>
      <c r="E59" s="1">
        <v>14</v>
      </c>
      <c r="F59" s="18">
        <v>88</v>
      </c>
      <c r="G59">
        <v>95</v>
      </c>
      <c r="H59">
        <v>75</v>
      </c>
      <c r="I59">
        <v>87</v>
      </c>
      <c r="J59">
        <v>37</v>
      </c>
      <c r="K59" s="13">
        <f t="shared" si="8"/>
        <v>48</v>
      </c>
      <c r="L59" s="13">
        <f t="shared" si="8"/>
        <v>55</v>
      </c>
      <c r="M59" s="13">
        <f t="shared" si="8"/>
        <v>35</v>
      </c>
      <c r="N59" s="13">
        <f t="shared" si="8"/>
        <v>47</v>
      </c>
      <c r="O59" s="13">
        <v>2</v>
      </c>
      <c r="P59" s="14">
        <f t="shared" si="9"/>
        <v>1232</v>
      </c>
      <c r="Q59" s="14">
        <f t="shared" si="9"/>
        <v>1330</v>
      </c>
      <c r="R59" s="14">
        <f t="shared" si="9"/>
        <v>1050</v>
      </c>
      <c r="S59" s="14">
        <f t="shared" si="9"/>
        <v>1218</v>
      </c>
      <c r="T59" s="14">
        <f t="shared" si="9"/>
        <v>518</v>
      </c>
      <c r="U59" s="15">
        <f t="shared" si="12"/>
        <v>336</v>
      </c>
      <c r="V59" s="15">
        <f t="shared" si="12"/>
        <v>385</v>
      </c>
      <c r="W59" s="15">
        <f t="shared" si="12"/>
        <v>245</v>
      </c>
      <c r="X59" s="15">
        <f t="shared" si="12"/>
        <v>329</v>
      </c>
      <c r="Y59" s="15">
        <f t="shared" si="12"/>
        <v>14</v>
      </c>
      <c r="Z59" s="16">
        <f t="shared" si="11"/>
        <v>1568</v>
      </c>
      <c r="AA59" s="16">
        <f t="shared" si="11"/>
        <v>1715</v>
      </c>
      <c r="AB59" s="16">
        <f t="shared" si="11"/>
        <v>1295</v>
      </c>
      <c r="AC59" s="16">
        <f t="shared" si="11"/>
        <v>1547</v>
      </c>
      <c r="AD59" s="16">
        <f t="shared" si="11"/>
        <v>532</v>
      </c>
    </row>
    <row r="60" spans="1:30" x14ac:dyDescent="0.25">
      <c r="A60" s="12" t="s">
        <v>175</v>
      </c>
      <c r="B60" t="s">
        <v>176</v>
      </c>
      <c r="C60" t="s">
        <v>177</v>
      </c>
      <c r="E60" s="1">
        <v>10</v>
      </c>
      <c r="F60" s="18">
        <v>89</v>
      </c>
      <c r="G60">
        <v>96</v>
      </c>
      <c r="H60">
        <v>76</v>
      </c>
      <c r="I60">
        <v>88</v>
      </c>
      <c r="J60">
        <v>37</v>
      </c>
      <c r="K60" s="13">
        <f t="shared" si="8"/>
        <v>49</v>
      </c>
      <c r="L60" s="13">
        <f t="shared" si="8"/>
        <v>56</v>
      </c>
      <c r="M60" s="13">
        <f t="shared" si="8"/>
        <v>36</v>
      </c>
      <c r="N60" s="13">
        <f t="shared" si="8"/>
        <v>48</v>
      </c>
      <c r="O60" s="13">
        <v>2</v>
      </c>
      <c r="P60" s="14">
        <f t="shared" si="9"/>
        <v>890</v>
      </c>
      <c r="Q60" s="14">
        <f t="shared" si="9"/>
        <v>960</v>
      </c>
      <c r="R60" s="14">
        <f t="shared" si="9"/>
        <v>760</v>
      </c>
      <c r="S60" s="14">
        <f t="shared" si="9"/>
        <v>880</v>
      </c>
      <c r="T60" s="14">
        <f t="shared" si="9"/>
        <v>370</v>
      </c>
      <c r="U60" s="15">
        <f t="shared" si="12"/>
        <v>245</v>
      </c>
      <c r="V60" s="15">
        <f t="shared" si="12"/>
        <v>280</v>
      </c>
      <c r="W60" s="15">
        <f t="shared" si="12"/>
        <v>180</v>
      </c>
      <c r="X60" s="15">
        <f t="shared" si="12"/>
        <v>240</v>
      </c>
      <c r="Y60" s="15">
        <f t="shared" si="12"/>
        <v>10</v>
      </c>
      <c r="Z60" s="16">
        <f t="shared" si="11"/>
        <v>1135</v>
      </c>
      <c r="AA60" s="16">
        <f t="shared" si="11"/>
        <v>1240</v>
      </c>
      <c r="AB60" s="16">
        <f t="shared" si="11"/>
        <v>940</v>
      </c>
      <c r="AC60" s="16">
        <f t="shared" si="11"/>
        <v>1120</v>
      </c>
      <c r="AD60" s="16">
        <f t="shared" si="11"/>
        <v>380</v>
      </c>
    </row>
    <row r="61" spans="1:30" x14ac:dyDescent="0.25">
      <c r="A61" s="12" t="s">
        <v>178</v>
      </c>
      <c r="B61" t="s">
        <v>179</v>
      </c>
      <c r="C61" t="s">
        <v>180</v>
      </c>
      <c r="E61" s="1">
        <v>7</v>
      </c>
      <c r="F61" s="18">
        <v>90</v>
      </c>
      <c r="G61">
        <v>97</v>
      </c>
      <c r="H61">
        <v>77</v>
      </c>
      <c r="I61">
        <v>89</v>
      </c>
      <c r="J61">
        <v>37</v>
      </c>
      <c r="K61" s="13">
        <f t="shared" si="8"/>
        <v>50</v>
      </c>
      <c r="L61" s="13">
        <f t="shared" si="8"/>
        <v>57</v>
      </c>
      <c r="M61" s="13">
        <f t="shared" si="8"/>
        <v>37</v>
      </c>
      <c r="N61" s="13">
        <f t="shared" si="8"/>
        <v>49</v>
      </c>
      <c r="O61" s="13">
        <v>2</v>
      </c>
      <c r="P61" s="14">
        <f t="shared" si="9"/>
        <v>630</v>
      </c>
      <c r="Q61" s="14">
        <f t="shared" si="9"/>
        <v>679</v>
      </c>
      <c r="R61" s="14">
        <f t="shared" si="9"/>
        <v>539</v>
      </c>
      <c r="S61" s="14">
        <f t="shared" si="9"/>
        <v>623</v>
      </c>
      <c r="T61" s="14">
        <f t="shared" si="9"/>
        <v>259</v>
      </c>
      <c r="U61" s="15">
        <f t="shared" si="12"/>
        <v>175</v>
      </c>
      <c r="V61" s="15">
        <f t="shared" si="12"/>
        <v>199.5</v>
      </c>
      <c r="W61" s="15">
        <f t="shared" si="12"/>
        <v>129.5</v>
      </c>
      <c r="X61" s="15">
        <f t="shared" si="12"/>
        <v>171.5</v>
      </c>
      <c r="Y61" s="15">
        <f t="shared" si="12"/>
        <v>7</v>
      </c>
      <c r="Z61" s="16">
        <f t="shared" si="11"/>
        <v>805</v>
      </c>
      <c r="AA61" s="16">
        <f t="shared" si="11"/>
        <v>878.5</v>
      </c>
      <c r="AB61" s="16">
        <f t="shared" si="11"/>
        <v>668.5</v>
      </c>
      <c r="AC61" s="16">
        <f t="shared" si="11"/>
        <v>794.5</v>
      </c>
      <c r="AD61" s="16">
        <f t="shared" si="11"/>
        <v>266</v>
      </c>
    </row>
    <row r="62" spans="1:30" x14ac:dyDescent="0.25">
      <c r="A62" s="12" t="s">
        <v>181</v>
      </c>
      <c r="B62" t="s">
        <v>182</v>
      </c>
      <c r="C62" t="s">
        <v>183</v>
      </c>
      <c r="E62" s="1">
        <v>39</v>
      </c>
      <c r="F62" s="18">
        <v>91</v>
      </c>
      <c r="G62">
        <v>98</v>
      </c>
      <c r="H62">
        <v>78</v>
      </c>
      <c r="I62">
        <v>90</v>
      </c>
      <c r="J62">
        <v>37</v>
      </c>
      <c r="K62" s="13">
        <f t="shared" si="8"/>
        <v>51</v>
      </c>
      <c r="L62" s="13">
        <f t="shared" si="8"/>
        <v>58</v>
      </c>
      <c r="M62" s="13">
        <f t="shared" si="8"/>
        <v>38</v>
      </c>
      <c r="N62" s="13">
        <f t="shared" si="8"/>
        <v>50</v>
      </c>
      <c r="O62" s="13">
        <v>2</v>
      </c>
      <c r="P62" s="14">
        <f t="shared" si="9"/>
        <v>3549</v>
      </c>
      <c r="Q62" s="14">
        <f t="shared" si="9"/>
        <v>3822</v>
      </c>
      <c r="R62" s="14">
        <f t="shared" si="9"/>
        <v>3042</v>
      </c>
      <c r="S62" s="14">
        <f t="shared" si="9"/>
        <v>3510</v>
      </c>
      <c r="T62" s="14">
        <f t="shared" si="9"/>
        <v>1443</v>
      </c>
      <c r="U62" s="15">
        <f t="shared" si="12"/>
        <v>994.5</v>
      </c>
      <c r="V62" s="15">
        <f t="shared" si="12"/>
        <v>1131</v>
      </c>
      <c r="W62" s="15">
        <f t="shared" si="12"/>
        <v>741</v>
      </c>
      <c r="X62" s="15">
        <f t="shared" si="12"/>
        <v>975</v>
      </c>
      <c r="Y62" s="15">
        <f t="shared" si="12"/>
        <v>39</v>
      </c>
      <c r="Z62" s="16">
        <f t="shared" si="11"/>
        <v>4543.5</v>
      </c>
      <c r="AA62" s="16">
        <f t="shared" si="11"/>
        <v>4953</v>
      </c>
      <c r="AB62" s="16">
        <f t="shared" si="11"/>
        <v>3783</v>
      </c>
      <c r="AC62" s="16">
        <f t="shared" si="11"/>
        <v>4485</v>
      </c>
      <c r="AD62" s="16">
        <f t="shared" si="11"/>
        <v>1482</v>
      </c>
    </row>
    <row r="63" spans="1:30" x14ac:dyDescent="0.25">
      <c r="A63" s="12" t="s">
        <v>184</v>
      </c>
      <c r="B63" t="s">
        <v>185</v>
      </c>
      <c r="C63" t="s">
        <v>186</v>
      </c>
      <c r="E63" s="17">
        <v>40</v>
      </c>
      <c r="F63" s="18">
        <v>92</v>
      </c>
      <c r="G63">
        <v>99</v>
      </c>
      <c r="H63">
        <v>79</v>
      </c>
      <c r="I63">
        <v>91</v>
      </c>
      <c r="J63">
        <v>37</v>
      </c>
      <c r="K63" s="13">
        <f t="shared" si="8"/>
        <v>52</v>
      </c>
      <c r="L63" s="13">
        <f t="shared" si="8"/>
        <v>59</v>
      </c>
      <c r="M63" s="13">
        <f t="shared" si="8"/>
        <v>39</v>
      </c>
      <c r="N63" s="13">
        <f t="shared" si="8"/>
        <v>51</v>
      </c>
      <c r="O63" s="13">
        <v>2</v>
      </c>
      <c r="P63" s="14">
        <f t="shared" si="9"/>
        <v>3680</v>
      </c>
      <c r="Q63" s="14">
        <f t="shared" si="9"/>
        <v>3960</v>
      </c>
      <c r="R63" s="14">
        <f t="shared" si="9"/>
        <v>3160</v>
      </c>
      <c r="S63" s="14">
        <f t="shared" si="9"/>
        <v>3640</v>
      </c>
      <c r="T63" s="14">
        <f t="shared" si="9"/>
        <v>1480</v>
      </c>
      <c r="U63" s="15">
        <f t="shared" si="12"/>
        <v>1040</v>
      </c>
      <c r="V63" s="15">
        <f t="shared" si="12"/>
        <v>1180</v>
      </c>
      <c r="W63" s="15">
        <f t="shared" si="12"/>
        <v>780</v>
      </c>
      <c r="X63" s="15">
        <f t="shared" si="12"/>
        <v>1020</v>
      </c>
      <c r="Y63" s="15">
        <f t="shared" si="12"/>
        <v>40</v>
      </c>
      <c r="Z63" s="16">
        <f t="shared" si="11"/>
        <v>4720</v>
      </c>
      <c r="AA63" s="16">
        <f t="shared" si="11"/>
        <v>5140</v>
      </c>
      <c r="AB63" s="16">
        <f t="shared" si="11"/>
        <v>3940</v>
      </c>
      <c r="AC63" s="16">
        <f t="shared" si="11"/>
        <v>4660</v>
      </c>
      <c r="AD63" s="16">
        <f t="shared" si="11"/>
        <v>1520</v>
      </c>
    </row>
    <row r="64" spans="1:30" x14ac:dyDescent="0.25">
      <c r="A64" s="12" t="s">
        <v>187</v>
      </c>
      <c r="B64" t="s">
        <v>188</v>
      </c>
      <c r="C64" t="s">
        <v>189</v>
      </c>
      <c r="E64" s="17">
        <v>30</v>
      </c>
      <c r="F64" s="18">
        <v>93</v>
      </c>
      <c r="G64">
        <v>100</v>
      </c>
      <c r="H64">
        <v>80</v>
      </c>
      <c r="I64">
        <v>92</v>
      </c>
      <c r="J64">
        <v>37</v>
      </c>
      <c r="K64" s="13">
        <f t="shared" si="8"/>
        <v>53</v>
      </c>
      <c r="L64" s="13">
        <f t="shared" si="8"/>
        <v>60</v>
      </c>
      <c r="M64" s="13">
        <f t="shared" si="8"/>
        <v>40</v>
      </c>
      <c r="N64" s="13">
        <f t="shared" si="8"/>
        <v>52</v>
      </c>
      <c r="O64" s="13">
        <v>2</v>
      </c>
      <c r="P64" s="14">
        <f t="shared" si="9"/>
        <v>2790</v>
      </c>
      <c r="Q64" s="14">
        <f t="shared" si="9"/>
        <v>3000</v>
      </c>
      <c r="R64" s="14">
        <f t="shared" si="9"/>
        <v>2400</v>
      </c>
      <c r="S64" s="14">
        <f t="shared" si="9"/>
        <v>2760</v>
      </c>
      <c r="T64" s="14">
        <f t="shared" si="9"/>
        <v>1110</v>
      </c>
      <c r="U64" s="15">
        <f t="shared" si="12"/>
        <v>795</v>
      </c>
      <c r="V64" s="15">
        <f t="shared" si="12"/>
        <v>900</v>
      </c>
      <c r="W64" s="15">
        <f t="shared" si="12"/>
        <v>600</v>
      </c>
      <c r="X64" s="15">
        <f t="shared" si="12"/>
        <v>780</v>
      </c>
      <c r="Y64" s="15">
        <f t="shared" si="12"/>
        <v>30</v>
      </c>
      <c r="Z64" s="16">
        <f t="shared" si="11"/>
        <v>3585</v>
      </c>
      <c r="AA64" s="16">
        <f t="shared" si="11"/>
        <v>3900</v>
      </c>
      <c r="AB64" s="16">
        <f t="shared" si="11"/>
        <v>3000</v>
      </c>
      <c r="AC64" s="16">
        <f t="shared" si="11"/>
        <v>3540</v>
      </c>
      <c r="AD64" s="16">
        <f t="shared" si="11"/>
        <v>1140</v>
      </c>
    </row>
    <row r="65" spans="1:30" x14ac:dyDescent="0.25">
      <c r="A65" s="12" t="s">
        <v>190</v>
      </c>
      <c r="B65" t="s">
        <v>191</v>
      </c>
      <c r="C65" t="s">
        <v>192</v>
      </c>
      <c r="E65" s="17">
        <v>50</v>
      </c>
      <c r="F65" s="18">
        <v>94</v>
      </c>
      <c r="G65">
        <v>101</v>
      </c>
      <c r="H65">
        <v>81</v>
      </c>
      <c r="I65">
        <v>93</v>
      </c>
      <c r="J65">
        <v>37</v>
      </c>
      <c r="K65" s="13">
        <f t="shared" si="8"/>
        <v>54</v>
      </c>
      <c r="L65" s="13">
        <f t="shared" si="8"/>
        <v>61</v>
      </c>
      <c r="M65" s="13">
        <f t="shared" si="8"/>
        <v>41</v>
      </c>
      <c r="N65" s="13">
        <f t="shared" si="8"/>
        <v>53</v>
      </c>
      <c r="O65" s="13">
        <v>2</v>
      </c>
      <c r="P65" s="14">
        <f t="shared" ref="P65:T89" si="13">$E65*F65</f>
        <v>4700</v>
      </c>
      <c r="Q65" s="14">
        <f t="shared" si="13"/>
        <v>5050</v>
      </c>
      <c r="R65" s="14">
        <f t="shared" si="13"/>
        <v>4050</v>
      </c>
      <c r="S65" s="14">
        <f t="shared" si="13"/>
        <v>4650</v>
      </c>
      <c r="T65" s="14">
        <f t="shared" si="13"/>
        <v>1850</v>
      </c>
      <c r="U65" s="15">
        <f t="shared" si="12"/>
        <v>1350</v>
      </c>
      <c r="V65" s="15">
        <f t="shared" si="12"/>
        <v>1525</v>
      </c>
      <c r="W65" s="15">
        <f t="shared" si="12"/>
        <v>1025</v>
      </c>
      <c r="X65" s="15">
        <f t="shared" si="12"/>
        <v>1325</v>
      </c>
      <c r="Y65" s="15">
        <f t="shared" si="12"/>
        <v>50</v>
      </c>
      <c r="Z65" s="16">
        <f t="shared" ref="Z65:AD89" si="14">U65+P65</f>
        <v>6050</v>
      </c>
      <c r="AA65" s="16">
        <f t="shared" si="14"/>
        <v>6575</v>
      </c>
      <c r="AB65" s="16">
        <f t="shared" si="14"/>
        <v>5075</v>
      </c>
      <c r="AC65" s="16">
        <f t="shared" si="14"/>
        <v>5975</v>
      </c>
      <c r="AD65" s="16">
        <f t="shared" si="14"/>
        <v>1900</v>
      </c>
    </row>
    <row r="66" spans="1:30" x14ac:dyDescent="0.25">
      <c r="A66" s="12" t="s">
        <v>193</v>
      </c>
      <c r="B66" t="s">
        <v>194</v>
      </c>
      <c r="C66" t="s">
        <v>195</v>
      </c>
      <c r="E66" s="17">
        <v>23</v>
      </c>
      <c r="F66" s="18">
        <v>95</v>
      </c>
      <c r="G66">
        <v>102</v>
      </c>
      <c r="H66">
        <v>82</v>
      </c>
      <c r="I66">
        <v>94</v>
      </c>
      <c r="J66">
        <v>37</v>
      </c>
      <c r="K66" s="13">
        <f t="shared" si="8"/>
        <v>55</v>
      </c>
      <c r="L66" s="13">
        <f t="shared" si="8"/>
        <v>62</v>
      </c>
      <c r="M66" s="13">
        <f t="shared" si="8"/>
        <v>42</v>
      </c>
      <c r="N66" s="13">
        <f t="shared" si="8"/>
        <v>54</v>
      </c>
      <c r="O66" s="13">
        <v>2</v>
      </c>
      <c r="P66" s="14">
        <f t="shared" si="13"/>
        <v>2185</v>
      </c>
      <c r="Q66" s="14">
        <f t="shared" si="13"/>
        <v>2346</v>
      </c>
      <c r="R66" s="14">
        <f t="shared" si="13"/>
        <v>1886</v>
      </c>
      <c r="S66" s="14">
        <f t="shared" si="13"/>
        <v>2162</v>
      </c>
      <c r="T66" s="14">
        <f t="shared" si="13"/>
        <v>851</v>
      </c>
      <c r="U66" s="15">
        <f t="shared" si="12"/>
        <v>632.5</v>
      </c>
      <c r="V66" s="15">
        <f t="shared" si="12"/>
        <v>713</v>
      </c>
      <c r="W66" s="15">
        <f t="shared" si="12"/>
        <v>483</v>
      </c>
      <c r="X66" s="15">
        <f t="shared" si="12"/>
        <v>621</v>
      </c>
      <c r="Y66" s="15">
        <f t="shared" si="12"/>
        <v>23</v>
      </c>
      <c r="Z66" s="16">
        <f t="shared" si="14"/>
        <v>2817.5</v>
      </c>
      <c r="AA66" s="16">
        <f t="shared" si="14"/>
        <v>3059</v>
      </c>
      <c r="AB66" s="16">
        <f t="shared" si="14"/>
        <v>2369</v>
      </c>
      <c r="AC66" s="16">
        <f t="shared" si="14"/>
        <v>2783</v>
      </c>
      <c r="AD66" s="16">
        <f t="shared" si="14"/>
        <v>874</v>
      </c>
    </row>
    <row r="67" spans="1:30" x14ac:dyDescent="0.25">
      <c r="A67" s="12" t="s">
        <v>196</v>
      </c>
      <c r="B67" t="s">
        <v>197</v>
      </c>
      <c r="C67" t="s">
        <v>198</v>
      </c>
      <c r="E67" s="17">
        <v>26</v>
      </c>
      <c r="F67" s="18">
        <v>96</v>
      </c>
      <c r="G67">
        <v>103</v>
      </c>
      <c r="H67">
        <v>83</v>
      </c>
      <c r="I67">
        <v>95</v>
      </c>
      <c r="J67">
        <v>37</v>
      </c>
      <c r="K67" s="13">
        <f t="shared" si="8"/>
        <v>56</v>
      </c>
      <c r="L67" s="13">
        <f t="shared" si="8"/>
        <v>63</v>
      </c>
      <c r="M67" s="13">
        <f t="shared" si="8"/>
        <v>43</v>
      </c>
      <c r="N67" s="13">
        <f t="shared" si="8"/>
        <v>55</v>
      </c>
      <c r="O67" s="13">
        <v>2</v>
      </c>
      <c r="P67" s="14">
        <f t="shared" si="13"/>
        <v>2496</v>
      </c>
      <c r="Q67" s="14">
        <f t="shared" si="13"/>
        <v>2678</v>
      </c>
      <c r="R67" s="14">
        <f t="shared" si="13"/>
        <v>2158</v>
      </c>
      <c r="S67" s="14">
        <f t="shared" si="13"/>
        <v>2470</v>
      </c>
      <c r="T67" s="14">
        <f t="shared" si="13"/>
        <v>962</v>
      </c>
      <c r="U67" s="15">
        <f t="shared" si="12"/>
        <v>728</v>
      </c>
      <c r="V67" s="15">
        <f t="shared" si="12"/>
        <v>819</v>
      </c>
      <c r="W67" s="15">
        <f t="shared" si="12"/>
        <v>559</v>
      </c>
      <c r="X67" s="15">
        <f t="shared" si="12"/>
        <v>715</v>
      </c>
      <c r="Y67" s="15">
        <f t="shared" si="12"/>
        <v>26</v>
      </c>
      <c r="Z67" s="16">
        <f t="shared" si="14"/>
        <v>3224</v>
      </c>
      <c r="AA67" s="16">
        <f t="shared" si="14"/>
        <v>3497</v>
      </c>
      <c r="AB67" s="16">
        <f t="shared" si="14"/>
        <v>2717</v>
      </c>
      <c r="AC67" s="16">
        <f t="shared" si="14"/>
        <v>3185</v>
      </c>
      <c r="AD67" s="16">
        <f t="shared" si="14"/>
        <v>988</v>
      </c>
    </row>
    <row r="68" spans="1:30" x14ac:dyDescent="0.25">
      <c r="A68" s="12" t="s">
        <v>199</v>
      </c>
      <c r="B68" t="s">
        <v>200</v>
      </c>
      <c r="C68" t="s">
        <v>201</v>
      </c>
      <c r="E68" s="17">
        <v>26</v>
      </c>
      <c r="F68" s="18">
        <v>97</v>
      </c>
      <c r="G68">
        <v>104</v>
      </c>
      <c r="H68">
        <v>84</v>
      </c>
      <c r="I68">
        <v>96</v>
      </c>
      <c r="J68">
        <v>37</v>
      </c>
      <c r="K68" s="13">
        <f t="shared" si="8"/>
        <v>57</v>
      </c>
      <c r="L68" s="13">
        <f t="shared" si="8"/>
        <v>64</v>
      </c>
      <c r="M68" s="13">
        <f t="shared" si="8"/>
        <v>44</v>
      </c>
      <c r="N68" s="13">
        <f t="shared" si="8"/>
        <v>56</v>
      </c>
      <c r="O68" s="13">
        <v>2</v>
      </c>
      <c r="P68" s="14">
        <f t="shared" si="13"/>
        <v>2522</v>
      </c>
      <c r="Q68" s="14">
        <f t="shared" si="13"/>
        <v>2704</v>
      </c>
      <c r="R68" s="14">
        <f t="shared" si="13"/>
        <v>2184</v>
      </c>
      <c r="S68" s="14">
        <f t="shared" si="13"/>
        <v>2496</v>
      </c>
      <c r="T68" s="14">
        <f t="shared" si="13"/>
        <v>962</v>
      </c>
      <c r="U68" s="15">
        <f t="shared" si="12"/>
        <v>741</v>
      </c>
      <c r="V68" s="15">
        <f t="shared" si="12"/>
        <v>832</v>
      </c>
      <c r="W68" s="15">
        <f t="shared" si="12"/>
        <v>572</v>
      </c>
      <c r="X68" s="15">
        <f t="shared" si="12"/>
        <v>728</v>
      </c>
      <c r="Y68" s="15">
        <f t="shared" si="12"/>
        <v>26</v>
      </c>
      <c r="Z68" s="16">
        <f t="shared" si="14"/>
        <v>3263</v>
      </c>
      <c r="AA68" s="16">
        <f t="shared" si="14"/>
        <v>3536</v>
      </c>
      <c r="AB68" s="16">
        <f t="shared" si="14"/>
        <v>2756</v>
      </c>
      <c r="AC68" s="16">
        <f t="shared" si="14"/>
        <v>3224</v>
      </c>
      <c r="AD68" s="16">
        <f t="shared" si="14"/>
        <v>988</v>
      </c>
    </row>
    <row r="69" spans="1:30" x14ac:dyDescent="0.25">
      <c r="A69" s="12" t="s">
        <v>202</v>
      </c>
      <c r="B69" t="s">
        <v>203</v>
      </c>
      <c r="C69" t="s">
        <v>133</v>
      </c>
      <c r="E69" s="17">
        <v>26</v>
      </c>
      <c r="F69" s="18">
        <v>98</v>
      </c>
      <c r="G69">
        <v>105</v>
      </c>
      <c r="H69">
        <v>85</v>
      </c>
      <c r="I69">
        <v>97</v>
      </c>
      <c r="J69">
        <v>37</v>
      </c>
      <c r="K69" s="13">
        <f t="shared" ref="K69:N89" si="15">IF(F69&gt;40,F69-40,0)</f>
        <v>58</v>
      </c>
      <c r="L69" s="13">
        <f t="shared" si="15"/>
        <v>65</v>
      </c>
      <c r="M69" s="13">
        <f t="shared" si="15"/>
        <v>45</v>
      </c>
      <c r="N69" s="13">
        <f t="shared" si="15"/>
        <v>57</v>
      </c>
      <c r="O69" s="13">
        <v>2</v>
      </c>
      <c r="P69" s="14">
        <f t="shared" si="13"/>
        <v>2548</v>
      </c>
      <c r="Q69" s="14">
        <f t="shared" si="13"/>
        <v>2730</v>
      </c>
      <c r="R69" s="14">
        <f t="shared" si="13"/>
        <v>2210</v>
      </c>
      <c r="S69" s="14">
        <f t="shared" si="13"/>
        <v>2522</v>
      </c>
      <c r="T69" s="14">
        <f t="shared" si="13"/>
        <v>962</v>
      </c>
      <c r="U69" s="15">
        <f t="shared" si="12"/>
        <v>754</v>
      </c>
      <c r="V69" s="15">
        <f t="shared" si="12"/>
        <v>845</v>
      </c>
      <c r="W69" s="15">
        <f t="shared" si="12"/>
        <v>585</v>
      </c>
      <c r="X69" s="15">
        <f t="shared" si="12"/>
        <v>741</v>
      </c>
      <c r="Y69" s="15">
        <f t="shared" si="12"/>
        <v>26</v>
      </c>
      <c r="Z69" s="16">
        <f t="shared" si="14"/>
        <v>3302</v>
      </c>
      <c r="AA69" s="16">
        <f t="shared" si="14"/>
        <v>3575</v>
      </c>
      <c r="AB69" s="16">
        <f t="shared" si="14"/>
        <v>2795</v>
      </c>
      <c r="AC69" s="16">
        <f t="shared" si="14"/>
        <v>3263</v>
      </c>
      <c r="AD69" s="16">
        <f t="shared" si="14"/>
        <v>988</v>
      </c>
    </row>
    <row r="70" spans="1:30" x14ac:dyDescent="0.25">
      <c r="A70" s="12" t="s">
        <v>204</v>
      </c>
      <c r="B70" t="s">
        <v>205</v>
      </c>
      <c r="C70" t="s">
        <v>15</v>
      </c>
      <c r="E70" s="17">
        <v>26</v>
      </c>
      <c r="F70" s="18">
        <v>99</v>
      </c>
      <c r="G70">
        <v>106</v>
      </c>
      <c r="H70">
        <v>86</v>
      </c>
      <c r="I70">
        <v>98</v>
      </c>
      <c r="J70">
        <v>37</v>
      </c>
      <c r="K70" s="13">
        <f t="shared" si="15"/>
        <v>59</v>
      </c>
      <c r="L70" s="13">
        <f t="shared" si="15"/>
        <v>66</v>
      </c>
      <c r="M70" s="13">
        <f t="shared" si="15"/>
        <v>46</v>
      </c>
      <c r="N70" s="13">
        <f t="shared" si="15"/>
        <v>58</v>
      </c>
      <c r="O70" s="13">
        <v>2</v>
      </c>
      <c r="P70" s="14">
        <f t="shared" si="13"/>
        <v>2574</v>
      </c>
      <c r="Q70" s="14">
        <f t="shared" si="13"/>
        <v>2756</v>
      </c>
      <c r="R70" s="14">
        <f t="shared" si="13"/>
        <v>2236</v>
      </c>
      <c r="S70" s="14">
        <f t="shared" si="13"/>
        <v>2548</v>
      </c>
      <c r="T70" s="14">
        <f t="shared" si="13"/>
        <v>962</v>
      </c>
      <c r="U70" s="15">
        <f t="shared" si="12"/>
        <v>767</v>
      </c>
      <c r="V70" s="15">
        <f t="shared" si="12"/>
        <v>858</v>
      </c>
      <c r="W70" s="15">
        <f t="shared" si="12"/>
        <v>598</v>
      </c>
      <c r="X70" s="15">
        <f t="shared" si="12"/>
        <v>754</v>
      </c>
      <c r="Y70" s="15">
        <f t="shared" si="12"/>
        <v>26</v>
      </c>
      <c r="Z70" s="16">
        <f t="shared" si="14"/>
        <v>3341</v>
      </c>
      <c r="AA70" s="16">
        <f t="shared" si="14"/>
        <v>3614</v>
      </c>
      <c r="AB70" s="16">
        <f t="shared" si="14"/>
        <v>2834</v>
      </c>
      <c r="AC70" s="16">
        <f t="shared" si="14"/>
        <v>3302</v>
      </c>
      <c r="AD70" s="16">
        <f t="shared" si="14"/>
        <v>988</v>
      </c>
    </row>
    <row r="71" spans="1:30" x14ac:dyDescent="0.25">
      <c r="A71" s="12" t="s">
        <v>206</v>
      </c>
      <c r="B71" t="s">
        <v>1</v>
      </c>
      <c r="C71" t="s">
        <v>207</v>
      </c>
      <c r="E71" s="17">
        <v>26</v>
      </c>
      <c r="F71" s="18">
        <v>100</v>
      </c>
      <c r="G71">
        <v>107</v>
      </c>
      <c r="H71">
        <v>87</v>
      </c>
      <c r="I71">
        <v>99</v>
      </c>
      <c r="J71">
        <v>37</v>
      </c>
      <c r="K71" s="13">
        <f t="shared" si="15"/>
        <v>60</v>
      </c>
      <c r="L71" s="13">
        <f t="shared" si="15"/>
        <v>67</v>
      </c>
      <c r="M71" s="13">
        <f t="shared" si="15"/>
        <v>47</v>
      </c>
      <c r="N71" s="13">
        <f t="shared" si="15"/>
        <v>59</v>
      </c>
      <c r="O71" s="13">
        <v>2</v>
      </c>
      <c r="P71" s="14">
        <f t="shared" si="13"/>
        <v>2600</v>
      </c>
      <c r="Q71" s="14">
        <f t="shared" si="13"/>
        <v>2782</v>
      </c>
      <c r="R71" s="14">
        <f t="shared" si="13"/>
        <v>2262</v>
      </c>
      <c r="S71" s="14">
        <f t="shared" si="13"/>
        <v>2574</v>
      </c>
      <c r="T71" s="14">
        <f t="shared" si="13"/>
        <v>962</v>
      </c>
      <c r="U71" s="15">
        <f t="shared" si="12"/>
        <v>780</v>
      </c>
      <c r="V71" s="15">
        <f t="shared" si="12"/>
        <v>871</v>
      </c>
      <c r="W71" s="15">
        <f t="shared" si="12"/>
        <v>611</v>
      </c>
      <c r="X71" s="15">
        <f t="shared" si="12"/>
        <v>767</v>
      </c>
      <c r="Y71" s="15">
        <f t="shared" si="12"/>
        <v>26</v>
      </c>
      <c r="Z71" s="16">
        <f t="shared" si="14"/>
        <v>3380</v>
      </c>
      <c r="AA71" s="16">
        <f t="shared" si="14"/>
        <v>3653</v>
      </c>
      <c r="AB71" s="16">
        <f t="shared" si="14"/>
        <v>2873</v>
      </c>
      <c r="AC71" s="16">
        <f t="shared" si="14"/>
        <v>3341</v>
      </c>
      <c r="AD71" s="16">
        <f t="shared" si="14"/>
        <v>988</v>
      </c>
    </row>
    <row r="72" spans="1:30" x14ac:dyDescent="0.25">
      <c r="A72" s="12" t="s">
        <v>208</v>
      </c>
      <c r="B72" t="s">
        <v>209</v>
      </c>
      <c r="C72" t="s">
        <v>210</v>
      </c>
      <c r="E72" s="17">
        <v>60</v>
      </c>
      <c r="F72" s="18">
        <v>101</v>
      </c>
      <c r="G72">
        <v>108</v>
      </c>
      <c r="H72">
        <v>88</v>
      </c>
      <c r="I72">
        <v>100</v>
      </c>
      <c r="J72">
        <v>37</v>
      </c>
      <c r="K72" s="13">
        <f t="shared" si="15"/>
        <v>61</v>
      </c>
      <c r="L72" s="13">
        <f t="shared" si="15"/>
        <v>68</v>
      </c>
      <c r="M72" s="13">
        <f t="shared" si="15"/>
        <v>48</v>
      </c>
      <c r="N72" s="13">
        <f t="shared" si="15"/>
        <v>60</v>
      </c>
      <c r="O72" s="13">
        <v>2</v>
      </c>
      <c r="P72" s="14">
        <f t="shared" si="13"/>
        <v>6060</v>
      </c>
      <c r="Q72" s="14">
        <f t="shared" si="13"/>
        <v>6480</v>
      </c>
      <c r="R72" s="14">
        <f t="shared" si="13"/>
        <v>5280</v>
      </c>
      <c r="S72" s="14">
        <f t="shared" si="13"/>
        <v>6000</v>
      </c>
      <c r="T72" s="14">
        <f t="shared" si="13"/>
        <v>2220</v>
      </c>
      <c r="U72" s="15">
        <f t="shared" si="12"/>
        <v>1830</v>
      </c>
      <c r="V72" s="15">
        <f t="shared" si="12"/>
        <v>2040</v>
      </c>
      <c r="W72" s="15">
        <f t="shared" si="12"/>
        <v>1440</v>
      </c>
      <c r="X72" s="15">
        <f t="shared" si="12"/>
        <v>1800</v>
      </c>
      <c r="Y72" s="15">
        <f t="shared" si="12"/>
        <v>60</v>
      </c>
      <c r="Z72" s="16">
        <f t="shared" si="14"/>
        <v>7890</v>
      </c>
      <c r="AA72" s="16">
        <f t="shared" si="14"/>
        <v>8520</v>
      </c>
      <c r="AB72" s="16">
        <f t="shared" si="14"/>
        <v>6720</v>
      </c>
      <c r="AC72" s="16">
        <f t="shared" si="14"/>
        <v>7800</v>
      </c>
      <c r="AD72" s="16">
        <f t="shared" si="14"/>
        <v>2280</v>
      </c>
    </row>
    <row r="73" spans="1:30" x14ac:dyDescent="0.25">
      <c r="A73" s="12" t="s">
        <v>211</v>
      </c>
      <c r="B73" t="s">
        <v>212</v>
      </c>
      <c r="C73" t="s">
        <v>213</v>
      </c>
      <c r="E73" s="1">
        <v>39</v>
      </c>
      <c r="F73" s="18">
        <v>102</v>
      </c>
      <c r="G73">
        <v>109</v>
      </c>
      <c r="H73">
        <v>89</v>
      </c>
      <c r="I73">
        <v>101</v>
      </c>
      <c r="J73">
        <v>37</v>
      </c>
      <c r="K73" s="13">
        <f t="shared" si="15"/>
        <v>62</v>
      </c>
      <c r="L73" s="13">
        <f t="shared" si="15"/>
        <v>69</v>
      </c>
      <c r="M73" s="13">
        <f t="shared" si="15"/>
        <v>49</v>
      </c>
      <c r="N73" s="13">
        <f t="shared" si="15"/>
        <v>61</v>
      </c>
      <c r="O73" s="13">
        <v>2</v>
      </c>
      <c r="P73" s="14">
        <f t="shared" si="13"/>
        <v>3978</v>
      </c>
      <c r="Q73" s="14">
        <f t="shared" si="13"/>
        <v>4251</v>
      </c>
      <c r="R73" s="14">
        <f t="shared" si="13"/>
        <v>3471</v>
      </c>
      <c r="S73" s="14">
        <f t="shared" si="13"/>
        <v>3939</v>
      </c>
      <c r="T73" s="14">
        <f t="shared" si="13"/>
        <v>1443</v>
      </c>
      <c r="U73" s="15">
        <f t="shared" si="12"/>
        <v>1209</v>
      </c>
      <c r="V73" s="15">
        <f t="shared" si="12"/>
        <v>1345.5</v>
      </c>
      <c r="W73" s="15">
        <f t="shared" si="12"/>
        <v>955.5</v>
      </c>
      <c r="X73" s="15">
        <f t="shared" si="12"/>
        <v>1189.5</v>
      </c>
      <c r="Y73" s="15">
        <f t="shared" si="12"/>
        <v>39</v>
      </c>
      <c r="Z73" s="16">
        <f t="shared" si="14"/>
        <v>5187</v>
      </c>
      <c r="AA73" s="16">
        <f t="shared" si="14"/>
        <v>5596.5</v>
      </c>
      <c r="AB73" s="16">
        <f t="shared" si="14"/>
        <v>4426.5</v>
      </c>
      <c r="AC73" s="16">
        <f t="shared" si="14"/>
        <v>5128.5</v>
      </c>
      <c r="AD73" s="16">
        <f t="shared" si="14"/>
        <v>1482</v>
      </c>
    </row>
    <row r="74" spans="1:30" x14ac:dyDescent="0.25">
      <c r="A74" s="12" t="s">
        <v>214</v>
      </c>
      <c r="B74" t="s">
        <v>215</v>
      </c>
      <c r="C74" t="s">
        <v>216</v>
      </c>
      <c r="E74" s="17">
        <v>40</v>
      </c>
      <c r="F74" s="18">
        <v>103</v>
      </c>
      <c r="G74">
        <v>110</v>
      </c>
      <c r="H74">
        <v>90</v>
      </c>
      <c r="I74">
        <v>102</v>
      </c>
      <c r="J74">
        <v>37</v>
      </c>
      <c r="K74" s="13">
        <f t="shared" si="15"/>
        <v>63</v>
      </c>
      <c r="L74" s="13">
        <f t="shared" si="15"/>
        <v>70</v>
      </c>
      <c r="M74" s="13">
        <f t="shared" si="15"/>
        <v>50</v>
      </c>
      <c r="N74" s="13">
        <f t="shared" si="15"/>
        <v>62</v>
      </c>
      <c r="O74" s="13">
        <v>2</v>
      </c>
      <c r="P74" s="14">
        <f t="shared" si="13"/>
        <v>4120</v>
      </c>
      <c r="Q74" s="14">
        <f t="shared" si="13"/>
        <v>4400</v>
      </c>
      <c r="R74" s="14">
        <f t="shared" si="13"/>
        <v>3600</v>
      </c>
      <c r="S74" s="14">
        <f t="shared" si="13"/>
        <v>4080</v>
      </c>
      <c r="T74" s="14">
        <f t="shared" si="13"/>
        <v>1480</v>
      </c>
      <c r="U74" s="15">
        <f t="shared" si="12"/>
        <v>1260</v>
      </c>
      <c r="V74" s="15">
        <f t="shared" si="12"/>
        <v>1400</v>
      </c>
      <c r="W74" s="15">
        <f t="shared" si="12"/>
        <v>1000</v>
      </c>
      <c r="X74" s="15">
        <f t="shared" si="12"/>
        <v>1240</v>
      </c>
      <c r="Y74" s="15">
        <f t="shared" si="12"/>
        <v>40</v>
      </c>
      <c r="Z74" s="16">
        <f t="shared" si="14"/>
        <v>5380</v>
      </c>
      <c r="AA74" s="16">
        <f t="shared" si="14"/>
        <v>5800</v>
      </c>
      <c r="AB74" s="16">
        <f t="shared" si="14"/>
        <v>4600</v>
      </c>
      <c r="AC74" s="16">
        <f t="shared" si="14"/>
        <v>5320</v>
      </c>
      <c r="AD74" s="16">
        <f t="shared" si="14"/>
        <v>1520</v>
      </c>
    </row>
    <row r="75" spans="1:30" x14ac:dyDescent="0.25">
      <c r="A75" s="12" t="s">
        <v>217</v>
      </c>
      <c r="B75" t="s">
        <v>144</v>
      </c>
      <c r="C75" t="s">
        <v>218</v>
      </c>
      <c r="E75" s="17">
        <v>30</v>
      </c>
      <c r="F75" s="18">
        <v>104</v>
      </c>
      <c r="G75">
        <v>111</v>
      </c>
      <c r="H75">
        <v>91</v>
      </c>
      <c r="I75">
        <v>103</v>
      </c>
      <c r="J75">
        <v>37</v>
      </c>
      <c r="K75" s="13">
        <f t="shared" si="15"/>
        <v>64</v>
      </c>
      <c r="L75" s="13">
        <f t="shared" si="15"/>
        <v>71</v>
      </c>
      <c r="M75" s="13">
        <f t="shared" si="15"/>
        <v>51</v>
      </c>
      <c r="N75" s="13">
        <f t="shared" si="15"/>
        <v>63</v>
      </c>
      <c r="O75" s="13">
        <v>2</v>
      </c>
      <c r="P75" s="14">
        <f t="shared" si="13"/>
        <v>3120</v>
      </c>
      <c r="Q75" s="14">
        <f t="shared" si="13"/>
        <v>3330</v>
      </c>
      <c r="R75" s="14">
        <f t="shared" si="13"/>
        <v>2730</v>
      </c>
      <c r="S75" s="14">
        <f t="shared" si="13"/>
        <v>3090</v>
      </c>
      <c r="T75" s="14">
        <f t="shared" si="13"/>
        <v>1110</v>
      </c>
      <c r="U75" s="15">
        <f t="shared" si="12"/>
        <v>960</v>
      </c>
      <c r="V75" s="15">
        <f t="shared" si="12"/>
        <v>1065</v>
      </c>
      <c r="W75" s="15">
        <f t="shared" si="12"/>
        <v>765</v>
      </c>
      <c r="X75" s="15">
        <f t="shared" si="12"/>
        <v>945</v>
      </c>
      <c r="Y75" s="15">
        <f t="shared" si="12"/>
        <v>30</v>
      </c>
      <c r="Z75" s="16">
        <f t="shared" si="14"/>
        <v>4080</v>
      </c>
      <c r="AA75" s="16">
        <f t="shared" si="14"/>
        <v>4395</v>
      </c>
      <c r="AB75" s="16">
        <f t="shared" si="14"/>
        <v>3495</v>
      </c>
      <c r="AC75" s="16">
        <f t="shared" si="14"/>
        <v>4035</v>
      </c>
      <c r="AD75" s="16">
        <f t="shared" si="14"/>
        <v>1140</v>
      </c>
    </row>
    <row r="76" spans="1:30" x14ac:dyDescent="0.25">
      <c r="A76" s="12" t="s">
        <v>219</v>
      </c>
      <c r="B76" t="s">
        <v>220</v>
      </c>
      <c r="C76" t="s">
        <v>150</v>
      </c>
      <c r="E76" s="17">
        <v>50</v>
      </c>
      <c r="F76" s="18">
        <v>105</v>
      </c>
      <c r="G76">
        <v>112</v>
      </c>
      <c r="H76">
        <v>92</v>
      </c>
      <c r="I76">
        <v>104</v>
      </c>
      <c r="J76">
        <v>37</v>
      </c>
      <c r="K76" s="13">
        <f t="shared" si="15"/>
        <v>65</v>
      </c>
      <c r="L76" s="13">
        <f t="shared" si="15"/>
        <v>72</v>
      </c>
      <c r="M76" s="13">
        <f t="shared" si="15"/>
        <v>52</v>
      </c>
      <c r="N76" s="13">
        <f t="shared" si="15"/>
        <v>64</v>
      </c>
      <c r="O76" s="13">
        <v>2</v>
      </c>
      <c r="P76" s="14">
        <f t="shared" si="13"/>
        <v>5250</v>
      </c>
      <c r="Q76" s="14">
        <f t="shared" si="13"/>
        <v>5600</v>
      </c>
      <c r="R76" s="14">
        <f t="shared" si="13"/>
        <v>4600</v>
      </c>
      <c r="S76" s="14">
        <f t="shared" si="13"/>
        <v>5200</v>
      </c>
      <c r="T76" s="14">
        <f t="shared" si="13"/>
        <v>1850</v>
      </c>
      <c r="U76" s="15">
        <f t="shared" si="12"/>
        <v>1625</v>
      </c>
      <c r="V76" s="15">
        <f t="shared" si="12"/>
        <v>1800</v>
      </c>
      <c r="W76" s="15">
        <f t="shared" si="12"/>
        <v>1300</v>
      </c>
      <c r="X76" s="15">
        <f t="shared" si="12"/>
        <v>1600</v>
      </c>
      <c r="Y76" s="15">
        <f t="shared" si="12"/>
        <v>50</v>
      </c>
      <c r="Z76" s="16">
        <f t="shared" si="14"/>
        <v>6875</v>
      </c>
      <c r="AA76" s="16">
        <f t="shared" si="14"/>
        <v>7400</v>
      </c>
      <c r="AB76" s="16">
        <f t="shared" si="14"/>
        <v>5900</v>
      </c>
      <c r="AC76" s="16">
        <f t="shared" si="14"/>
        <v>6800</v>
      </c>
      <c r="AD76" s="16">
        <f t="shared" si="14"/>
        <v>1900</v>
      </c>
    </row>
    <row r="77" spans="1:30" x14ac:dyDescent="0.25">
      <c r="A77" s="12" t="s">
        <v>221</v>
      </c>
      <c r="B77" t="s">
        <v>222</v>
      </c>
      <c r="C77" t="s">
        <v>223</v>
      </c>
      <c r="E77" s="17">
        <v>23</v>
      </c>
      <c r="F77" s="18">
        <v>106</v>
      </c>
      <c r="G77">
        <v>113</v>
      </c>
      <c r="H77">
        <v>93</v>
      </c>
      <c r="I77">
        <v>105</v>
      </c>
      <c r="J77">
        <v>37</v>
      </c>
      <c r="K77" s="13">
        <f t="shared" si="15"/>
        <v>66</v>
      </c>
      <c r="L77" s="13">
        <f t="shared" si="15"/>
        <v>73</v>
      </c>
      <c r="M77" s="13">
        <f t="shared" si="15"/>
        <v>53</v>
      </c>
      <c r="N77" s="13">
        <f t="shared" si="15"/>
        <v>65</v>
      </c>
      <c r="O77" s="13">
        <v>2</v>
      </c>
      <c r="P77" s="14">
        <f t="shared" si="13"/>
        <v>2438</v>
      </c>
      <c r="Q77" s="14">
        <f t="shared" si="13"/>
        <v>2599</v>
      </c>
      <c r="R77" s="14">
        <f t="shared" si="13"/>
        <v>2139</v>
      </c>
      <c r="S77" s="14">
        <f t="shared" si="13"/>
        <v>2415</v>
      </c>
      <c r="T77" s="14">
        <f t="shared" si="13"/>
        <v>851</v>
      </c>
      <c r="U77" s="15">
        <f t="shared" si="12"/>
        <v>759</v>
      </c>
      <c r="V77" s="15">
        <f t="shared" si="12"/>
        <v>839.5</v>
      </c>
      <c r="W77" s="15">
        <f t="shared" si="12"/>
        <v>609.5</v>
      </c>
      <c r="X77" s="15">
        <f t="shared" si="12"/>
        <v>747.5</v>
      </c>
      <c r="Y77" s="15">
        <f t="shared" si="12"/>
        <v>23</v>
      </c>
      <c r="Z77" s="16">
        <f t="shared" si="14"/>
        <v>3197</v>
      </c>
      <c r="AA77" s="16">
        <f t="shared" si="14"/>
        <v>3438.5</v>
      </c>
      <c r="AB77" s="16">
        <f t="shared" si="14"/>
        <v>2748.5</v>
      </c>
      <c r="AC77" s="16">
        <f t="shared" si="14"/>
        <v>3162.5</v>
      </c>
      <c r="AD77" s="16">
        <f t="shared" si="14"/>
        <v>874</v>
      </c>
    </row>
    <row r="78" spans="1:30" x14ac:dyDescent="0.25">
      <c r="A78" s="12" t="s">
        <v>224</v>
      </c>
      <c r="B78" t="s">
        <v>225</v>
      </c>
      <c r="C78" t="s">
        <v>115</v>
      </c>
      <c r="E78" s="17">
        <v>26</v>
      </c>
      <c r="F78" s="18">
        <v>107</v>
      </c>
      <c r="G78">
        <v>114</v>
      </c>
      <c r="H78">
        <v>94</v>
      </c>
      <c r="I78">
        <v>106</v>
      </c>
      <c r="J78">
        <v>37</v>
      </c>
      <c r="K78" s="13">
        <f t="shared" si="15"/>
        <v>67</v>
      </c>
      <c r="L78" s="13">
        <f t="shared" si="15"/>
        <v>74</v>
      </c>
      <c r="M78" s="13">
        <f t="shared" si="15"/>
        <v>54</v>
      </c>
      <c r="N78" s="13">
        <f t="shared" si="15"/>
        <v>66</v>
      </c>
      <c r="O78" s="13">
        <v>2</v>
      </c>
      <c r="P78" s="14">
        <f t="shared" si="13"/>
        <v>2782</v>
      </c>
      <c r="Q78" s="14">
        <f t="shared" si="13"/>
        <v>2964</v>
      </c>
      <c r="R78" s="14">
        <f t="shared" si="13"/>
        <v>2444</v>
      </c>
      <c r="S78" s="14">
        <f t="shared" si="13"/>
        <v>2756</v>
      </c>
      <c r="T78" s="14">
        <f t="shared" si="13"/>
        <v>962</v>
      </c>
      <c r="U78" s="15">
        <f t="shared" si="12"/>
        <v>871</v>
      </c>
      <c r="V78" s="15">
        <f t="shared" si="12"/>
        <v>962</v>
      </c>
      <c r="W78" s="15">
        <f t="shared" si="12"/>
        <v>702</v>
      </c>
      <c r="X78" s="15">
        <f t="shared" si="12"/>
        <v>858</v>
      </c>
      <c r="Y78" s="15">
        <f t="shared" si="12"/>
        <v>26</v>
      </c>
      <c r="Z78" s="16">
        <f t="shared" si="14"/>
        <v>3653</v>
      </c>
      <c r="AA78" s="16">
        <f t="shared" si="14"/>
        <v>3926</v>
      </c>
      <c r="AB78" s="16">
        <f t="shared" si="14"/>
        <v>3146</v>
      </c>
      <c r="AC78" s="16">
        <f t="shared" si="14"/>
        <v>3614</v>
      </c>
      <c r="AD78" s="16">
        <f t="shared" si="14"/>
        <v>988</v>
      </c>
    </row>
    <row r="79" spans="1:30" x14ac:dyDescent="0.25">
      <c r="A79" s="12" t="s">
        <v>226</v>
      </c>
      <c r="B79" t="s">
        <v>227</v>
      </c>
      <c r="C79" t="s">
        <v>33</v>
      </c>
      <c r="E79" s="17">
        <v>60</v>
      </c>
      <c r="F79" s="18">
        <v>108</v>
      </c>
      <c r="G79">
        <v>115</v>
      </c>
      <c r="H79">
        <v>95</v>
      </c>
      <c r="I79">
        <v>107</v>
      </c>
      <c r="J79">
        <v>37</v>
      </c>
      <c r="K79" s="13">
        <f t="shared" si="15"/>
        <v>68</v>
      </c>
      <c r="L79" s="13">
        <f t="shared" si="15"/>
        <v>75</v>
      </c>
      <c r="M79" s="13">
        <f t="shared" si="15"/>
        <v>55</v>
      </c>
      <c r="N79" s="13">
        <f t="shared" si="15"/>
        <v>67</v>
      </c>
      <c r="O79" s="13">
        <v>2</v>
      </c>
      <c r="P79" s="14">
        <f t="shared" si="13"/>
        <v>6480</v>
      </c>
      <c r="Q79" s="14">
        <f t="shared" si="13"/>
        <v>6900</v>
      </c>
      <c r="R79" s="14">
        <f t="shared" si="13"/>
        <v>5700</v>
      </c>
      <c r="S79" s="14">
        <f t="shared" si="13"/>
        <v>6420</v>
      </c>
      <c r="T79" s="14">
        <f t="shared" si="13"/>
        <v>2220</v>
      </c>
      <c r="U79" s="15">
        <f t="shared" si="12"/>
        <v>2040</v>
      </c>
      <c r="V79" s="15">
        <f t="shared" si="12"/>
        <v>2250</v>
      </c>
      <c r="W79" s="15">
        <f t="shared" si="12"/>
        <v>1650</v>
      </c>
      <c r="X79" s="15">
        <f t="shared" si="12"/>
        <v>2010</v>
      </c>
      <c r="Y79" s="15">
        <f t="shared" si="12"/>
        <v>60</v>
      </c>
      <c r="Z79" s="16">
        <f t="shared" si="14"/>
        <v>8520</v>
      </c>
      <c r="AA79" s="16">
        <f t="shared" si="14"/>
        <v>9150</v>
      </c>
      <c r="AB79" s="16">
        <f t="shared" si="14"/>
        <v>7350</v>
      </c>
      <c r="AC79" s="16">
        <f t="shared" si="14"/>
        <v>8430</v>
      </c>
      <c r="AD79" s="16">
        <f t="shared" si="14"/>
        <v>2280</v>
      </c>
    </row>
    <row r="80" spans="1:30" x14ac:dyDescent="0.25">
      <c r="A80" s="12" t="s">
        <v>228</v>
      </c>
      <c r="B80" t="s">
        <v>229</v>
      </c>
      <c r="C80" t="s">
        <v>52</v>
      </c>
      <c r="E80" s="17">
        <v>24</v>
      </c>
      <c r="F80" s="18">
        <v>109</v>
      </c>
      <c r="G80">
        <v>116</v>
      </c>
      <c r="H80">
        <v>96</v>
      </c>
      <c r="I80">
        <v>108</v>
      </c>
      <c r="J80">
        <v>37</v>
      </c>
      <c r="K80" s="13">
        <f t="shared" si="15"/>
        <v>69</v>
      </c>
      <c r="L80" s="13">
        <f t="shared" si="15"/>
        <v>76</v>
      </c>
      <c r="M80" s="13">
        <f t="shared" si="15"/>
        <v>56</v>
      </c>
      <c r="N80" s="13">
        <f t="shared" si="15"/>
        <v>68</v>
      </c>
      <c r="O80" s="13">
        <v>2</v>
      </c>
      <c r="P80" s="14">
        <f t="shared" si="13"/>
        <v>2616</v>
      </c>
      <c r="Q80" s="14">
        <f t="shared" si="13"/>
        <v>2784</v>
      </c>
      <c r="R80" s="14">
        <f t="shared" si="13"/>
        <v>2304</v>
      </c>
      <c r="S80" s="14">
        <f t="shared" si="13"/>
        <v>2592</v>
      </c>
      <c r="T80" s="14">
        <f t="shared" si="13"/>
        <v>888</v>
      </c>
      <c r="U80" s="15">
        <f t="shared" si="12"/>
        <v>828</v>
      </c>
      <c r="V80" s="15">
        <f t="shared" si="12"/>
        <v>912</v>
      </c>
      <c r="W80" s="15">
        <f t="shared" si="12"/>
        <v>672</v>
      </c>
      <c r="X80" s="15">
        <f t="shared" si="12"/>
        <v>816</v>
      </c>
      <c r="Y80" s="15">
        <f t="shared" si="12"/>
        <v>24</v>
      </c>
      <c r="Z80" s="16">
        <f t="shared" si="14"/>
        <v>3444</v>
      </c>
      <c r="AA80" s="16">
        <f t="shared" si="14"/>
        <v>3696</v>
      </c>
      <c r="AB80" s="16">
        <f t="shared" si="14"/>
        <v>2976</v>
      </c>
      <c r="AC80" s="16">
        <f t="shared" si="14"/>
        <v>3408</v>
      </c>
      <c r="AD80" s="16">
        <f t="shared" si="14"/>
        <v>912</v>
      </c>
    </row>
    <row r="81" spans="1:30" x14ac:dyDescent="0.25">
      <c r="A81" s="12" t="s">
        <v>230</v>
      </c>
      <c r="B81" t="s">
        <v>231</v>
      </c>
      <c r="C81" t="s">
        <v>232</v>
      </c>
      <c r="E81" s="17">
        <v>25</v>
      </c>
      <c r="F81" s="18">
        <v>110</v>
      </c>
      <c r="G81">
        <v>117</v>
      </c>
      <c r="H81">
        <v>97</v>
      </c>
      <c r="I81">
        <v>109</v>
      </c>
      <c r="J81">
        <v>37</v>
      </c>
      <c r="K81" s="13">
        <f t="shared" si="15"/>
        <v>70</v>
      </c>
      <c r="L81" s="13">
        <f t="shared" si="15"/>
        <v>77</v>
      </c>
      <c r="M81" s="13">
        <f t="shared" si="15"/>
        <v>57</v>
      </c>
      <c r="N81" s="13">
        <f t="shared" si="15"/>
        <v>69</v>
      </c>
      <c r="O81" s="13">
        <v>2</v>
      </c>
      <c r="P81" s="14">
        <f t="shared" si="13"/>
        <v>2750</v>
      </c>
      <c r="Q81" s="14">
        <f t="shared" si="13"/>
        <v>2925</v>
      </c>
      <c r="R81" s="14">
        <f t="shared" si="13"/>
        <v>2425</v>
      </c>
      <c r="S81" s="14">
        <f t="shared" si="13"/>
        <v>2725</v>
      </c>
      <c r="T81" s="14">
        <f t="shared" si="13"/>
        <v>925</v>
      </c>
      <c r="U81" s="15">
        <f t="shared" si="12"/>
        <v>875</v>
      </c>
      <c r="V81" s="15">
        <f t="shared" si="12"/>
        <v>962.5</v>
      </c>
      <c r="W81" s="15">
        <f t="shared" si="12"/>
        <v>712.5</v>
      </c>
      <c r="X81" s="15">
        <f t="shared" si="12"/>
        <v>862.5</v>
      </c>
      <c r="Y81" s="15">
        <f t="shared" si="12"/>
        <v>25</v>
      </c>
      <c r="Z81" s="16">
        <f t="shared" si="14"/>
        <v>3625</v>
      </c>
      <c r="AA81" s="16">
        <f t="shared" si="14"/>
        <v>3887.5</v>
      </c>
      <c r="AB81" s="16">
        <f t="shared" si="14"/>
        <v>3137.5</v>
      </c>
      <c r="AC81" s="16">
        <f t="shared" si="14"/>
        <v>3587.5</v>
      </c>
      <c r="AD81" s="16">
        <f t="shared" si="14"/>
        <v>950</v>
      </c>
    </row>
    <row r="82" spans="1:30" x14ac:dyDescent="0.25">
      <c r="A82" s="12" t="s">
        <v>233</v>
      </c>
      <c r="B82" t="s">
        <v>234</v>
      </c>
      <c r="C82" t="s">
        <v>235</v>
      </c>
      <c r="E82" s="17">
        <v>26</v>
      </c>
      <c r="F82" s="18">
        <v>111</v>
      </c>
      <c r="G82">
        <v>118</v>
      </c>
      <c r="H82">
        <v>98</v>
      </c>
      <c r="I82">
        <v>110</v>
      </c>
      <c r="J82">
        <v>37</v>
      </c>
      <c r="K82" s="13">
        <f t="shared" si="15"/>
        <v>71</v>
      </c>
      <c r="L82" s="13">
        <f t="shared" si="15"/>
        <v>78</v>
      </c>
      <c r="M82" s="13">
        <f t="shared" si="15"/>
        <v>58</v>
      </c>
      <c r="N82" s="13">
        <f t="shared" si="15"/>
        <v>70</v>
      </c>
      <c r="O82" s="13">
        <v>2</v>
      </c>
      <c r="P82" s="14">
        <f t="shared" si="13"/>
        <v>2886</v>
      </c>
      <c r="Q82" s="14">
        <f t="shared" si="13"/>
        <v>3068</v>
      </c>
      <c r="R82" s="14">
        <f t="shared" si="13"/>
        <v>2548</v>
      </c>
      <c r="S82" s="14">
        <f t="shared" si="13"/>
        <v>2860</v>
      </c>
      <c r="T82" s="14">
        <f t="shared" si="13"/>
        <v>962</v>
      </c>
      <c r="U82" s="15">
        <f t="shared" si="12"/>
        <v>923</v>
      </c>
      <c r="V82" s="15">
        <f t="shared" si="12"/>
        <v>1014</v>
      </c>
      <c r="W82" s="15">
        <f t="shared" si="12"/>
        <v>754</v>
      </c>
      <c r="X82" s="15">
        <f t="shared" si="12"/>
        <v>910</v>
      </c>
      <c r="Y82" s="15">
        <f t="shared" si="12"/>
        <v>26</v>
      </c>
      <c r="Z82" s="16">
        <f t="shared" si="14"/>
        <v>3809</v>
      </c>
      <c r="AA82" s="16">
        <f t="shared" si="14"/>
        <v>4082</v>
      </c>
      <c r="AB82" s="16">
        <f t="shared" si="14"/>
        <v>3302</v>
      </c>
      <c r="AC82" s="16">
        <f t="shared" si="14"/>
        <v>3770</v>
      </c>
      <c r="AD82" s="16">
        <f t="shared" si="14"/>
        <v>988</v>
      </c>
    </row>
    <row r="83" spans="1:30" x14ac:dyDescent="0.25">
      <c r="A83" s="12" t="s">
        <v>236</v>
      </c>
      <c r="B83" t="s">
        <v>185</v>
      </c>
      <c r="C83" t="s">
        <v>237</v>
      </c>
      <c r="E83" s="17">
        <v>27</v>
      </c>
      <c r="F83" s="18">
        <v>112</v>
      </c>
      <c r="G83">
        <v>119</v>
      </c>
      <c r="H83">
        <v>99</v>
      </c>
      <c r="I83">
        <v>111</v>
      </c>
      <c r="J83">
        <v>37</v>
      </c>
      <c r="K83" s="13">
        <f t="shared" si="15"/>
        <v>72</v>
      </c>
      <c r="L83" s="13">
        <f t="shared" si="15"/>
        <v>79</v>
      </c>
      <c r="M83" s="13">
        <f t="shared" si="15"/>
        <v>59</v>
      </c>
      <c r="N83" s="13">
        <f t="shared" si="15"/>
        <v>71</v>
      </c>
      <c r="O83" s="13">
        <v>2</v>
      </c>
      <c r="P83" s="14">
        <f t="shared" si="13"/>
        <v>3024</v>
      </c>
      <c r="Q83" s="14">
        <f t="shared" si="13"/>
        <v>3213</v>
      </c>
      <c r="R83" s="14">
        <f t="shared" si="13"/>
        <v>2673</v>
      </c>
      <c r="S83" s="14">
        <f t="shared" si="13"/>
        <v>2997</v>
      </c>
      <c r="T83" s="14">
        <f t="shared" si="13"/>
        <v>999</v>
      </c>
      <c r="U83" s="15">
        <f t="shared" si="12"/>
        <v>972</v>
      </c>
      <c r="V83" s="15">
        <f t="shared" si="12"/>
        <v>1066.5</v>
      </c>
      <c r="W83" s="15">
        <f t="shared" si="12"/>
        <v>796.5</v>
      </c>
      <c r="X83" s="15">
        <f t="shared" si="12"/>
        <v>958.5</v>
      </c>
      <c r="Y83" s="15">
        <f t="shared" si="12"/>
        <v>27</v>
      </c>
      <c r="Z83" s="16">
        <f t="shared" si="14"/>
        <v>3996</v>
      </c>
      <c r="AA83" s="16">
        <f t="shared" si="14"/>
        <v>4279.5</v>
      </c>
      <c r="AB83" s="16">
        <f t="shared" si="14"/>
        <v>3469.5</v>
      </c>
      <c r="AC83" s="16">
        <f t="shared" si="14"/>
        <v>3955.5</v>
      </c>
      <c r="AD83" s="16">
        <f t="shared" si="14"/>
        <v>1026</v>
      </c>
    </row>
    <row r="84" spans="1:30" x14ac:dyDescent="0.25">
      <c r="A84" s="12" t="s">
        <v>238</v>
      </c>
      <c r="B84" t="s">
        <v>239</v>
      </c>
      <c r="C84" t="s">
        <v>240</v>
      </c>
      <c r="E84" s="17">
        <v>28</v>
      </c>
      <c r="F84" s="18">
        <v>113</v>
      </c>
      <c r="G84">
        <v>120</v>
      </c>
      <c r="H84">
        <v>100</v>
      </c>
      <c r="I84">
        <v>112</v>
      </c>
      <c r="J84">
        <v>37</v>
      </c>
      <c r="K84" s="13">
        <f t="shared" si="15"/>
        <v>73</v>
      </c>
      <c r="L84" s="13">
        <f t="shared" si="15"/>
        <v>80</v>
      </c>
      <c r="M84" s="13">
        <f t="shared" si="15"/>
        <v>60</v>
      </c>
      <c r="N84" s="13">
        <f t="shared" si="15"/>
        <v>72</v>
      </c>
      <c r="O84" s="13">
        <v>2</v>
      </c>
      <c r="P84" s="14">
        <f t="shared" si="13"/>
        <v>3164</v>
      </c>
      <c r="Q84" s="14">
        <f t="shared" si="13"/>
        <v>3360</v>
      </c>
      <c r="R84" s="14">
        <f t="shared" si="13"/>
        <v>2800</v>
      </c>
      <c r="S84" s="14">
        <f t="shared" si="13"/>
        <v>3136</v>
      </c>
      <c r="T84" s="14">
        <f t="shared" si="13"/>
        <v>1036</v>
      </c>
      <c r="U84" s="15">
        <f t="shared" si="12"/>
        <v>1022</v>
      </c>
      <c r="V84" s="15">
        <f t="shared" si="12"/>
        <v>1120</v>
      </c>
      <c r="W84" s="15">
        <f t="shared" si="12"/>
        <v>840</v>
      </c>
      <c r="X84" s="15">
        <f t="shared" si="12"/>
        <v>1008</v>
      </c>
      <c r="Y84" s="15">
        <f t="shared" si="12"/>
        <v>28</v>
      </c>
      <c r="Z84" s="16">
        <f t="shared" si="14"/>
        <v>4186</v>
      </c>
      <c r="AA84" s="16">
        <f t="shared" si="14"/>
        <v>4480</v>
      </c>
      <c r="AB84" s="16">
        <f t="shared" si="14"/>
        <v>3640</v>
      </c>
      <c r="AC84" s="16">
        <f t="shared" si="14"/>
        <v>4144</v>
      </c>
      <c r="AD84" s="16">
        <f t="shared" si="14"/>
        <v>1064</v>
      </c>
    </row>
    <row r="85" spans="1:30" x14ac:dyDescent="0.25">
      <c r="A85" s="12" t="s">
        <v>241</v>
      </c>
      <c r="B85" t="s">
        <v>242</v>
      </c>
      <c r="C85" t="s">
        <v>243</v>
      </c>
      <c r="E85" s="17">
        <v>29</v>
      </c>
      <c r="F85" s="18">
        <v>114</v>
      </c>
      <c r="G85">
        <v>121</v>
      </c>
      <c r="H85">
        <v>101</v>
      </c>
      <c r="I85">
        <v>113</v>
      </c>
      <c r="J85">
        <v>37</v>
      </c>
      <c r="K85" s="13">
        <f t="shared" si="15"/>
        <v>74</v>
      </c>
      <c r="L85" s="13">
        <f t="shared" si="15"/>
        <v>81</v>
      </c>
      <c r="M85" s="13">
        <f t="shared" si="15"/>
        <v>61</v>
      </c>
      <c r="N85" s="13">
        <f t="shared" si="15"/>
        <v>73</v>
      </c>
      <c r="O85" s="13">
        <v>2</v>
      </c>
      <c r="P85" s="14">
        <f t="shared" si="13"/>
        <v>3306</v>
      </c>
      <c r="Q85" s="14">
        <f t="shared" si="13"/>
        <v>3509</v>
      </c>
      <c r="R85" s="14">
        <f t="shared" si="13"/>
        <v>2929</v>
      </c>
      <c r="S85" s="14">
        <f t="shared" si="13"/>
        <v>3277</v>
      </c>
      <c r="T85" s="14">
        <f t="shared" si="13"/>
        <v>1073</v>
      </c>
      <c r="U85" s="15">
        <f t="shared" si="12"/>
        <v>1073</v>
      </c>
      <c r="V85" s="15">
        <f t="shared" si="12"/>
        <v>1174.5</v>
      </c>
      <c r="W85" s="15">
        <f t="shared" si="12"/>
        <v>884.5</v>
      </c>
      <c r="X85" s="15">
        <f t="shared" si="12"/>
        <v>1058.5</v>
      </c>
      <c r="Y85" s="15">
        <f t="shared" si="12"/>
        <v>29</v>
      </c>
      <c r="Z85" s="16">
        <f t="shared" si="14"/>
        <v>4379</v>
      </c>
      <c r="AA85" s="16">
        <f t="shared" si="14"/>
        <v>4683.5</v>
      </c>
      <c r="AB85" s="16">
        <f t="shared" si="14"/>
        <v>3813.5</v>
      </c>
      <c r="AC85" s="16">
        <f t="shared" si="14"/>
        <v>4335.5</v>
      </c>
      <c r="AD85" s="16">
        <f t="shared" si="14"/>
        <v>1102</v>
      </c>
    </row>
    <row r="86" spans="1:30" x14ac:dyDescent="0.25">
      <c r="A86" s="12" t="s">
        <v>244</v>
      </c>
      <c r="B86" t="s">
        <v>229</v>
      </c>
      <c r="C86" t="s">
        <v>245</v>
      </c>
      <c r="E86" s="17">
        <v>40</v>
      </c>
      <c r="F86" s="18">
        <v>115</v>
      </c>
      <c r="G86">
        <v>122</v>
      </c>
      <c r="H86">
        <v>102</v>
      </c>
      <c r="I86">
        <v>114</v>
      </c>
      <c r="J86">
        <v>37</v>
      </c>
      <c r="K86" s="13">
        <f t="shared" si="15"/>
        <v>75</v>
      </c>
      <c r="L86" s="13">
        <f t="shared" si="15"/>
        <v>82</v>
      </c>
      <c r="M86" s="13">
        <f t="shared" si="15"/>
        <v>62</v>
      </c>
      <c r="N86" s="13">
        <f t="shared" si="15"/>
        <v>74</v>
      </c>
      <c r="O86" s="13">
        <v>2</v>
      </c>
      <c r="P86" s="14">
        <f t="shared" si="13"/>
        <v>4600</v>
      </c>
      <c r="Q86" s="14">
        <f t="shared" si="13"/>
        <v>4880</v>
      </c>
      <c r="R86" s="14">
        <f t="shared" si="13"/>
        <v>4080</v>
      </c>
      <c r="S86" s="14">
        <f t="shared" si="13"/>
        <v>4560</v>
      </c>
      <c r="T86" s="14">
        <f t="shared" si="13"/>
        <v>1480</v>
      </c>
      <c r="U86" s="15">
        <f t="shared" si="12"/>
        <v>1500</v>
      </c>
      <c r="V86" s="15">
        <f t="shared" si="12"/>
        <v>1640</v>
      </c>
      <c r="W86" s="15">
        <f t="shared" si="12"/>
        <v>1240</v>
      </c>
      <c r="X86" s="15">
        <f t="shared" si="12"/>
        <v>1480</v>
      </c>
      <c r="Y86" s="15">
        <f t="shared" si="12"/>
        <v>40</v>
      </c>
      <c r="Z86" s="16">
        <f t="shared" si="14"/>
        <v>6100</v>
      </c>
      <c r="AA86" s="16">
        <f t="shared" si="14"/>
        <v>6520</v>
      </c>
      <c r="AB86" s="16">
        <f t="shared" si="14"/>
        <v>5320</v>
      </c>
      <c r="AC86" s="16">
        <f t="shared" si="14"/>
        <v>6040</v>
      </c>
      <c r="AD86" s="16">
        <f t="shared" si="14"/>
        <v>1520</v>
      </c>
    </row>
    <row r="87" spans="1:30" x14ac:dyDescent="0.25">
      <c r="A87" s="12" t="s">
        <v>246</v>
      </c>
      <c r="B87" t="s">
        <v>247</v>
      </c>
      <c r="C87" t="s">
        <v>248</v>
      </c>
      <c r="E87" s="17">
        <v>30</v>
      </c>
      <c r="F87" s="18">
        <v>116</v>
      </c>
      <c r="G87">
        <v>123</v>
      </c>
      <c r="H87">
        <v>103</v>
      </c>
      <c r="I87">
        <v>115</v>
      </c>
      <c r="J87">
        <v>37</v>
      </c>
      <c r="K87" s="13">
        <f t="shared" si="15"/>
        <v>76</v>
      </c>
      <c r="L87" s="13">
        <f t="shared" si="15"/>
        <v>83</v>
      </c>
      <c r="M87" s="13">
        <f t="shared" si="15"/>
        <v>63</v>
      </c>
      <c r="N87" s="13">
        <f t="shared" si="15"/>
        <v>75</v>
      </c>
      <c r="O87" s="13">
        <v>2</v>
      </c>
      <c r="P87" s="14">
        <f t="shared" si="13"/>
        <v>3480</v>
      </c>
      <c r="Q87" s="14">
        <f t="shared" si="13"/>
        <v>3690</v>
      </c>
      <c r="R87" s="14">
        <f t="shared" si="13"/>
        <v>3090</v>
      </c>
      <c r="S87" s="14">
        <f t="shared" si="13"/>
        <v>3450</v>
      </c>
      <c r="T87" s="14">
        <f t="shared" si="13"/>
        <v>1110</v>
      </c>
      <c r="U87" s="15">
        <f t="shared" si="12"/>
        <v>1140</v>
      </c>
      <c r="V87" s="15">
        <f t="shared" si="12"/>
        <v>1245</v>
      </c>
      <c r="W87" s="15">
        <f t="shared" si="12"/>
        <v>945</v>
      </c>
      <c r="X87" s="15">
        <f t="shared" si="12"/>
        <v>1125</v>
      </c>
      <c r="Y87" s="15">
        <f t="shared" si="12"/>
        <v>30</v>
      </c>
      <c r="Z87" s="16">
        <f t="shared" si="14"/>
        <v>4620</v>
      </c>
      <c r="AA87" s="16">
        <f t="shared" si="14"/>
        <v>4935</v>
      </c>
      <c r="AB87" s="16">
        <f t="shared" si="14"/>
        <v>4035</v>
      </c>
      <c r="AC87" s="16">
        <f t="shared" si="14"/>
        <v>4575</v>
      </c>
      <c r="AD87" s="16">
        <f t="shared" si="14"/>
        <v>1140</v>
      </c>
    </row>
    <row r="88" spans="1:30" x14ac:dyDescent="0.25">
      <c r="A88" s="12" t="s">
        <v>249</v>
      </c>
      <c r="B88" t="s">
        <v>250</v>
      </c>
      <c r="C88" t="s">
        <v>251</v>
      </c>
      <c r="E88" s="17">
        <v>50</v>
      </c>
      <c r="F88" s="18">
        <v>117</v>
      </c>
      <c r="G88">
        <v>124</v>
      </c>
      <c r="H88">
        <v>104</v>
      </c>
      <c r="I88">
        <v>116</v>
      </c>
      <c r="J88">
        <v>37</v>
      </c>
      <c r="K88" s="13">
        <f t="shared" si="15"/>
        <v>77</v>
      </c>
      <c r="L88" s="13">
        <f t="shared" si="15"/>
        <v>84</v>
      </c>
      <c r="M88" s="13">
        <f t="shared" si="15"/>
        <v>64</v>
      </c>
      <c r="N88" s="13">
        <f t="shared" si="15"/>
        <v>76</v>
      </c>
      <c r="O88" s="13">
        <v>2</v>
      </c>
      <c r="P88" s="14">
        <f t="shared" si="13"/>
        <v>5850</v>
      </c>
      <c r="Q88" s="14">
        <f t="shared" si="13"/>
        <v>6200</v>
      </c>
      <c r="R88" s="14">
        <f t="shared" si="13"/>
        <v>5200</v>
      </c>
      <c r="S88" s="14">
        <f t="shared" si="13"/>
        <v>5800</v>
      </c>
      <c r="T88" s="14">
        <f t="shared" si="13"/>
        <v>1850</v>
      </c>
      <c r="U88" s="15">
        <f t="shared" si="12"/>
        <v>1925</v>
      </c>
      <c r="V88" s="15">
        <f t="shared" si="12"/>
        <v>2100</v>
      </c>
      <c r="W88" s="15">
        <f t="shared" si="12"/>
        <v>1600</v>
      </c>
      <c r="X88" s="15">
        <f t="shared" si="12"/>
        <v>1900</v>
      </c>
      <c r="Y88" s="15">
        <f t="shared" si="12"/>
        <v>50</v>
      </c>
      <c r="Z88" s="16">
        <f t="shared" si="14"/>
        <v>7775</v>
      </c>
      <c r="AA88" s="16">
        <f t="shared" si="14"/>
        <v>8300</v>
      </c>
      <c r="AB88" s="16">
        <f t="shared" si="14"/>
        <v>6800</v>
      </c>
      <c r="AC88" s="16">
        <f t="shared" si="14"/>
        <v>7700</v>
      </c>
      <c r="AD88" s="16">
        <f t="shared" si="14"/>
        <v>1900</v>
      </c>
    </row>
    <row r="89" spans="1:30" x14ac:dyDescent="0.25">
      <c r="A89" s="12" t="s">
        <v>252</v>
      </c>
      <c r="B89" t="s">
        <v>253</v>
      </c>
      <c r="C89" t="s">
        <v>254</v>
      </c>
      <c r="E89" s="17">
        <v>23</v>
      </c>
      <c r="F89" s="18">
        <v>300</v>
      </c>
      <c r="G89">
        <v>125</v>
      </c>
      <c r="H89">
        <v>105</v>
      </c>
      <c r="I89">
        <v>117</v>
      </c>
      <c r="J89">
        <v>37</v>
      </c>
      <c r="K89" s="13">
        <f t="shared" si="15"/>
        <v>260</v>
      </c>
      <c r="L89" s="13">
        <f t="shared" si="15"/>
        <v>85</v>
      </c>
      <c r="M89" s="13">
        <f t="shared" si="15"/>
        <v>65</v>
      </c>
      <c r="N89" s="13">
        <f t="shared" si="15"/>
        <v>77</v>
      </c>
      <c r="O89" s="13">
        <v>2</v>
      </c>
      <c r="P89" s="14">
        <f t="shared" si="13"/>
        <v>6900</v>
      </c>
      <c r="Q89" s="14">
        <f t="shared" si="13"/>
        <v>2875</v>
      </c>
      <c r="R89" s="14">
        <f t="shared" si="13"/>
        <v>2415</v>
      </c>
      <c r="S89" s="14">
        <f t="shared" si="13"/>
        <v>2691</v>
      </c>
      <c r="T89" s="14">
        <f t="shared" si="13"/>
        <v>851</v>
      </c>
      <c r="U89" s="15">
        <f t="shared" si="12"/>
        <v>2990</v>
      </c>
      <c r="V89" s="15">
        <f t="shared" si="12"/>
        <v>977.5</v>
      </c>
      <c r="W89" s="15">
        <f t="shared" si="12"/>
        <v>747.5</v>
      </c>
      <c r="X89" s="15">
        <f t="shared" si="12"/>
        <v>885.5</v>
      </c>
      <c r="Y89" s="15">
        <f t="shared" si="12"/>
        <v>23</v>
      </c>
      <c r="Z89" s="16">
        <f t="shared" si="14"/>
        <v>9890</v>
      </c>
      <c r="AA89" s="16">
        <f t="shared" si="14"/>
        <v>3852.5</v>
      </c>
      <c r="AB89" s="16">
        <f t="shared" si="14"/>
        <v>3162.5</v>
      </c>
      <c r="AC89" s="16">
        <f t="shared" si="14"/>
        <v>3576.5</v>
      </c>
      <c r="AD89" s="16">
        <f t="shared" si="14"/>
        <v>874</v>
      </c>
    </row>
    <row r="90" spans="1:30" x14ac:dyDescent="0.25">
      <c r="A90" s="12"/>
      <c r="L90" s="20"/>
      <c r="U90" s="21"/>
      <c r="V90" s="21"/>
      <c r="W90" s="21"/>
      <c r="X90" s="21"/>
      <c r="Y90" s="21"/>
      <c r="Z90" s="21"/>
    </row>
    <row r="91" spans="1:30" x14ac:dyDescent="0.25">
      <c r="A91" s="22" t="s">
        <v>255</v>
      </c>
      <c r="B91" s="22"/>
      <c r="C91" s="22"/>
      <c r="E91" s="21">
        <f>MAX(E4:E89)</f>
        <v>98</v>
      </c>
      <c r="F91" s="20">
        <f>MAX(F4:F89)</f>
        <v>300</v>
      </c>
      <c r="G91" s="20">
        <f t="shared" ref="G91:AD91" si="16">MAX(G4:G89)</f>
        <v>125</v>
      </c>
      <c r="H91" s="20">
        <f t="shared" si="16"/>
        <v>105</v>
      </c>
      <c r="I91" s="20">
        <f t="shared" si="16"/>
        <v>117</v>
      </c>
      <c r="J91" s="20">
        <f t="shared" si="16"/>
        <v>37</v>
      </c>
      <c r="K91" s="20">
        <f t="shared" si="16"/>
        <v>260</v>
      </c>
      <c r="L91" s="20">
        <f t="shared" si="16"/>
        <v>85</v>
      </c>
      <c r="M91" s="20">
        <f t="shared" si="16"/>
        <v>65</v>
      </c>
      <c r="N91" s="20">
        <f t="shared" si="16"/>
        <v>77</v>
      </c>
      <c r="O91" s="20">
        <f t="shared" si="16"/>
        <v>2</v>
      </c>
      <c r="P91" s="20">
        <f t="shared" si="16"/>
        <v>6900</v>
      </c>
      <c r="Q91" s="20">
        <f t="shared" si="16"/>
        <v>6900</v>
      </c>
      <c r="R91" s="20">
        <f t="shared" si="16"/>
        <v>5700</v>
      </c>
      <c r="S91" s="20">
        <f t="shared" si="16"/>
        <v>6420</v>
      </c>
      <c r="T91" s="20">
        <f t="shared" si="16"/>
        <v>3626</v>
      </c>
      <c r="U91" s="20">
        <f t="shared" si="16"/>
        <v>2990</v>
      </c>
      <c r="V91" s="20">
        <f t="shared" si="16"/>
        <v>2250</v>
      </c>
      <c r="W91" s="20">
        <f t="shared" si="16"/>
        <v>1650</v>
      </c>
      <c r="X91" s="20">
        <f t="shared" si="16"/>
        <v>2010</v>
      </c>
      <c r="Y91" s="20">
        <f t="shared" si="16"/>
        <v>98</v>
      </c>
      <c r="Z91" s="20">
        <f t="shared" si="16"/>
        <v>9890</v>
      </c>
      <c r="AA91" s="20">
        <f t="shared" si="16"/>
        <v>9150</v>
      </c>
      <c r="AB91" s="20">
        <f t="shared" si="16"/>
        <v>7350</v>
      </c>
      <c r="AC91" s="20">
        <f t="shared" si="16"/>
        <v>8430</v>
      </c>
      <c r="AD91" s="20">
        <f t="shared" si="16"/>
        <v>3724</v>
      </c>
    </row>
    <row r="92" spans="1:30" x14ac:dyDescent="0.25">
      <c r="A92" s="23" t="s">
        <v>256</v>
      </c>
      <c r="B92" s="23"/>
      <c r="C92" s="23"/>
      <c r="E92" s="21">
        <f>MIN(E4:E89)</f>
        <v>7</v>
      </c>
      <c r="F92" s="20">
        <f>MIN(F4:F89)</f>
        <v>7</v>
      </c>
      <c r="G92" s="20">
        <f t="shared" ref="G92:AD92" si="17">MIN(G4:G89)</f>
        <v>40</v>
      </c>
      <c r="H92" s="20">
        <f t="shared" si="17"/>
        <v>20</v>
      </c>
      <c r="I92" s="20">
        <f t="shared" si="17"/>
        <v>32</v>
      </c>
      <c r="J92" s="20">
        <f t="shared" si="17"/>
        <v>37</v>
      </c>
      <c r="K92" s="20">
        <f t="shared" si="17"/>
        <v>0</v>
      </c>
      <c r="L92" s="20">
        <f t="shared" si="17"/>
        <v>0</v>
      </c>
      <c r="M92" s="20">
        <f t="shared" si="17"/>
        <v>0</v>
      </c>
      <c r="N92" s="20">
        <f t="shared" si="17"/>
        <v>0</v>
      </c>
      <c r="O92" s="20">
        <f t="shared" si="17"/>
        <v>2</v>
      </c>
      <c r="P92" s="20">
        <f t="shared" si="17"/>
        <v>91</v>
      </c>
      <c r="Q92" s="20">
        <f t="shared" si="17"/>
        <v>572</v>
      </c>
      <c r="R92" s="20">
        <f t="shared" si="17"/>
        <v>312</v>
      </c>
      <c r="S92" s="20">
        <f t="shared" si="17"/>
        <v>468</v>
      </c>
      <c r="T92" s="20">
        <f t="shared" si="17"/>
        <v>259</v>
      </c>
      <c r="U92" s="20">
        <f t="shared" si="17"/>
        <v>0</v>
      </c>
      <c r="V92" s="20">
        <f t="shared" si="17"/>
        <v>0</v>
      </c>
      <c r="W92" s="20">
        <f t="shared" si="17"/>
        <v>0</v>
      </c>
      <c r="X92" s="20">
        <f t="shared" si="17"/>
        <v>0</v>
      </c>
      <c r="Y92" s="20">
        <f t="shared" si="17"/>
        <v>7</v>
      </c>
      <c r="Z92" s="20">
        <f t="shared" si="17"/>
        <v>91</v>
      </c>
      <c r="AA92" s="20">
        <f t="shared" si="17"/>
        <v>598</v>
      </c>
      <c r="AB92" s="20">
        <f t="shared" si="17"/>
        <v>312</v>
      </c>
      <c r="AC92" s="20">
        <f t="shared" si="17"/>
        <v>468</v>
      </c>
      <c r="AD92" s="20">
        <f t="shared" si="17"/>
        <v>266</v>
      </c>
    </row>
    <row r="93" spans="1:30" x14ac:dyDescent="0.25">
      <c r="A93" s="24" t="s">
        <v>257</v>
      </c>
      <c r="B93" s="24"/>
      <c r="C93" s="24"/>
      <c r="E93" s="21">
        <f>AVERAGE(E4:E89)</f>
        <v>45.08167220376523</v>
      </c>
      <c r="F93" s="20">
        <f>AVERAGE(F4:F89)</f>
        <v>68.268881506090807</v>
      </c>
      <c r="G93" s="20">
        <f t="shared" ref="G93:L93" si="18">AVERAGE(G4:G89)</f>
        <v>82.5</v>
      </c>
      <c r="H93" s="20">
        <f t="shared" si="18"/>
        <v>62.5</v>
      </c>
      <c r="I93" s="20">
        <f t="shared" si="18"/>
        <v>74.5</v>
      </c>
      <c r="J93" s="20">
        <f t="shared" si="18"/>
        <v>37</v>
      </c>
      <c r="K93" s="20">
        <f t="shared" si="18"/>
        <v>33.901439645625693</v>
      </c>
      <c r="L93" s="20">
        <f t="shared" si="18"/>
        <v>42.5</v>
      </c>
      <c r="M93" s="20">
        <f>AVERAGE(M4:M89)</f>
        <v>24.941860465116278</v>
      </c>
      <c r="N93" s="20">
        <f t="shared" ref="N93:AD93" si="19">AVERAGE(N4:N89)</f>
        <v>34.918604651162788</v>
      </c>
      <c r="O93" s="20">
        <f t="shared" si="19"/>
        <v>2</v>
      </c>
      <c r="P93" s="20">
        <f t="shared" si="19"/>
        <v>2608.2157253599112</v>
      </c>
      <c r="Q93" s="20">
        <f t="shared" si="19"/>
        <v>3441.2509413067546</v>
      </c>
      <c r="R93" s="20">
        <f t="shared" si="19"/>
        <v>2539.6174972314507</v>
      </c>
      <c r="S93" s="20">
        <f t="shared" si="19"/>
        <v>3080.5975636766334</v>
      </c>
      <c r="T93" s="20">
        <f t="shared" si="19"/>
        <v>1668.0218715393132</v>
      </c>
      <c r="U93" s="20">
        <f t="shared" si="19"/>
        <v>556.45930232558135</v>
      </c>
      <c r="V93" s="20">
        <f t="shared" si="19"/>
        <v>818.99202657807325</v>
      </c>
      <c r="W93" s="20">
        <f t="shared" si="19"/>
        <v>437.30321151716498</v>
      </c>
      <c r="X93" s="20">
        <f t="shared" si="19"/>
        <v>646.19557032115176</v>
      </c>
      <c r="Y93" s="20">
        <f t="shared" si="19"/>
        <v>45.08167220376523</v>
      </c>
      <c r="Z93" s="20">
        <f t="shared" si="19"/>
        <v>3164.6750276854932</v>
      </c>
      <c r="AA93" s="20">
        <f t="shared" si="19"/>
        <v>4260.2429678848275</v>
      </c>
      <c r="AB93" s="20">
        <f t="shared" si="19"/>
        <v>2976.9207087486157</v>
      </c>
      <c r="AC93" s="20">
        <f t="shared" si="19"/>
        <v>3726.7931339977849</v>
      </c>
      <c r="AD93" s="20">
        <f t="shared" si="19"/>
        <v>1713.1035437430783</v>
      </c>
    </row>
    <row r="94" spans="1:30" x14ac:dyDescent="0.25">
      <c r="A94" s="25" t="s">
        <v>258</v>
      </c>
      <c r="B94" s="25"/>
      <c r="C94" s="25"/>
      <c r="E94" s="21">
        <f>SUM(E4:E89)</f>
        <v>3877.0238095238096</v>
      </c>
      <c r="F94" s="20">
        <f>SUM(F4:F89)</f>
        <v>5871.1238095238095</v>
      </c>
      <c r="G94" s="20">
        <f t="shared" ref="G94:AD94" si="20">SUM(G4:G89)</f>
        <v>7095</v>
      </c>
      <c r="H94" s="20">
        <f t="shared" si="20"/>
        <v>5375</v>
      </c>
      <c r="I94" s="20">
        <f t="shared" si="20"/>
        <v>6407</v>
      </c>
      <c r="J94" s="20">
        <f t="shared" si="20"/>
        <v>3182</v>
      </c>
      <c r="K94" s="20">
        <f t="shared" si="20"/>
        <v>2915.5238095238096</v>
      </c>
      <c r="L94" s="20">
        <f t="shared" si="20"/>
        <v>3655</v>
      </c>
      <c r="M94" s="20">
        <f t="shared" si="20"/>
        <v>2145</v>
      </c>
      <c r="N94" s="20">
        <f t="shared" si="20"/>
        <v>3003</v>
      </c>
      <c r="O94" s="20">
        <f t="shared" si="20"/>
        <v>172</v>
      </c>
      <c r="P94" s="20">
        <f t="shared" si="20"/>
        <v>224306.55238095234</v>
      </c>
      <c r="Q94" s="20">
        <f t="shared" si="20"/>
        <v>295947.5809523809</v>
      </c>
      <c r="R94" s="20">
        <f t="shared" si="20"/>
        <v>218407.10476190475</v>
      </c>
      <c r="S94" s="20">
        <f t="shared" si="20"/>
        <v>264931.39047619049</v>
      </c>
      <c r="T94" s="20">
        <f t="shared" si="20"/>
        <v>143449.88095238095</v>
      </c>
      <c r="U94" s="20">
        <f t="shared" si="20"/>
        <v>47855.5</v>
      </c>
      <c r="V94" s="20">
        <f t="shared" si="20"/>
        <v>70433.314285714296</v>
      </c>
      <c r="W94" s="20">
        <f t="shared" si="20"/>
        <v>37608.076190476189</v>
      </c>
      <c r="X94" s="20">
        <f t="shared" si="20"/>
        <v>55572.81904761905</v>
      </c>
      <c r="Y94" s="20">
        <f t="shared" si="20"/>
        <v>3877.0238095238096</v>
      </c>
      <c r="Z94" s="20">
        <f t="shared" si="20"/>
        <v>272162.0523809524</v>
      </c>
      <c r="AA94" s="20">
        <f t="shared" si="20"/>
        <v>366380.8952380952</v>
      </c>
      <c r="AB94" s="20">
        <f t="shared" si="20"/>
        <v>256015.18095238096</v>
      </c>
      <c r="AC94" s="20">
        <f t="shared" si="20"/>
        <v>320504.20952380949</v>
      </c>
      <c r="AD94" s="20">
        <f t="shared" si="20"/>
        <v>147326.90476190473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2026-09-24T10:34:46Z</dcterms:created>
  <dcterms:modified xsi:type="dcterms:W3CDTF">2026-09-24T11:19:47Z</dcterms:modified>
</cp:coreProperties>
</file>